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nnex A Mapping" sheetId="2" state="visible" r:id="rId4"/>
    <sheet name="Risk-Control Links" sheetId="3" state="visible" r:id="rId5"/>
  </sheets>
  <definedNames>
    <definedName function="false" hidden="true" localSheetId="1" name="_xlnm._FilterDatabase" vbProcedure="false">'Annex A Mapping'!$A$4:$N$97</definedName>
    <definedName function="false" hidden="true" localSheetId="2" name="_xlnm._FilterDatabase" vbProcedure="false">'Risk-Control Links'!$A$1:$I$130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<sst xmlns="http://schemas.openxmlformats.org/spreadsheetml/2006/main" count="1718" uniqueCount="565">
  <si>
    <t xml:space="preserve">Annex A Coverage Summary</t>
  </si>
  <si>
    <t xml:space="preserve">All figures calculate from the Annex A Mapping sheet. Change an "Applicable?" cell there and this page updates.</t>
  </si>
  <si>
    <t xml:space="preserve">Metric</t>
  </si>
  <si>
    <t xml:space="preserve">Value</t>
  </si>
  <si>
    <t xml:space="preserve">Annex A controls (ISO/IEC 27001:2022)</t>
  </si>
  <si>
    <t xml:space="preserve">Marked applicable</t>
  </si>
  <si>
    <t xml:space="preserve">Marked not applicable</t>
  </si>
  <si>
    <t xml:space="preserve">Controls linked to at least one register risk</t>
  </si>
  <si>
    <t xml:space="preserve">Controls with no linked risk (baseline, confirm)</t>
  </si>
  <si>
    <t xml:space="preserve">Coverage of applicable controls by register</t>
  </si>
  <si>
    <t xml:space="preserve">Risk-to-control links</t>
  </si>
  <si>
    <t xml:space="preserve">Controls partially implemented (a linked risk has Weak controls)</t>
  </si>
  <si>
    <t xml:space="preserve">High-priority controls (linked risk residual &gt;= 12)</t>
  </si>
  <si>
    <t xml:space="preserve">By Annex A theme</t>
  </si>
  <si>
    <t xml:space="preserve">Theme</t>
  </si>
  <si>
    <t xml:space="preserve">Controls</t>
  </si>
  <si>
    <t xml:space="preserve">Applicable</t>
  </si>
  <si>
    <t xml:space="preserve">Linked to a risk</t>
  </si>
  <si>
    <t xml:space="preserve">Partially implemented</t>
  </si>
  <si>
    <t xml:space="preserve">High priority</t>
  </si>
  <si>
    <t xml:space="preserve">5 Organizational</t>
  </si>
  <si>
    <t xml:space="preserve">6 People</t>
  </si>
  <si>
    <t xml:space="preserve">7 Physical</t>
  </si>
  <si>
    <t xml:space="preserve">8 Technological</t>
  </si>
  <si>
    <t xml:space="preserve">Total</t>
  </si>
  <si>
    <t xml:space="preserve">Notes and assumptions</t>
  </si>
  <si>
    <t xml:space="preserve">1. Linked risks are parsed from "ISO 27001 A.x.y" references in the register's Framework Mapping column. Risks without such references (for example climate, supply chain and workforce risks) are not mapped here.</t>
  </si>
  <si>
    <t xml:space="preserve">2. "Implementation status" and "Priority" are formula-driven indicators, not audit findings. "Partially implemented" means at least one linked risk has Weak control effectiveness in the register.</t>
  </si>
  <si>
    <t xml:space="preserve">3. All 93 controls default to "Applicable = Yes". Exclusions must be justified in the Statement of Applicability and approved by management; none are proposed here.</t>
  </si>
  <si>
    <t xml:space="preserve">4. Controls with no linked risk are baseline controls. Confirm evidence and applicability during the next risk assessment cycle.</t>
  </si>
  <si>
    <t xml:space="preserve">5. Register references use the 2022 numbering of Annex A (93 controls in 4 themes).</t>
  </si>
  <si>
    <t xml:space="preserve">ISO/IEC 27001:2022 Annex A: Control Mapping and Statement of Applicability (draft)</t>
  </si>
  <si>
    <t xml:space="preserve">Meridian Provisions Group (fictional). Blue = input you can edit. Black = formula. Linked risks come from the Framework Mapping column of the Enterprise Risk Register v1.0. Status and priority are INDICATIVE and must be validated with evidence.</t>
  </si>
  <si>
    <t xml:space="preserve">Control ID</t>
  </si>
  <si>
    <t xml:space="preserve">Control</t>
  </si>
  <si>
    <t xml:space="preserve">Applicable? (Yes/No)</t>
  </si>
  <si>
    <t xml:space="preserve">Justification for inclusion / exclusion</t>
  </si>
  <si>
    <t xml:space="preserve">Linked risk IDs</t>
  </si>
  <si>
    <t xml:space="preserve"># linked risks</t>
  </si>
  <si>
    <t xml:space="preserve">Highest residual score linked</t>
  </si>
  <si>
    <t xml:space="preserve"># links with Weak control</t>
  </si>
  <si>
    <t xml:space="preserve">Implementation status (indicative)</t>
  </si>
  <si>
    <t xml:space="preserve">Priority (indicative)</t>
  </si>
  <si>
    <t xml:space="preserve">Suggested owner (from linked risks)</t>
  </si>
  <si>
    <t xml:space="preserve">Next step (treatment plan of highest-scoring linked risk)</t>
  </si>
  <si>
    <t xml:space="preserve">Evidence / document ref (to complete)</t>
  </si>
  <si>
    <t xml:space="preserve">A.5.1</t>
  </si>
  <si>
    <t xml:space="preserve">Policies for information security</t>
  </si>
  <si>
    <t xml:space="preserve">Yes</t>
  </si>
  <si>
    <t xml:space="preserve">Baseline ISO 27001 control; no register risk mapped yet. Confirm applicability and evidence.</t>
  </si>
  <si>
    <t xml:space="preserve">A.5.2</t>
  </si>
  <si>
    <t xml:space="preserve">Information security roles and responsibilities</t>
  </si>
  <si>
    <t xml:space="preserve">A.5.3</t>
  </si>
  <si>
    <t xml:space="preserve">Segregation of duties</t>
  </si>
  <si>
    <t xml:space="preserve">Treats register risk(s): R-011, R-026.</t>
  </si>
  <si>
    <t xml:space="preserve">R-011, R-026</t>
  </si>
  <si>
    <t xml:space="preserve">Chief Financial Officer</t>
  </si>
  <si>
    <t xml:space="preserve">R-011: Introduce out-of-band codeword verification for executive payment requests; run deepfake awareness drills.</t>
  </si>
  <si>
    <t xml:space="preserve">A.5.4</t>
  </si>
  <si>
    <t xml:space="preserve">Management responsibilities</t>
  </si>
  <si>
    <t xml:space="preserve">A.5.5</t>
  </si>
  <si>
    <t xml:space="preserve">Contact with authorities</t>
  </si>
  <si>
    <t xml:space="preserve">A.5.6</t>
  </si>
  <si>
    <t xml:space="preserve">Contact with special interest groups</t>
  </si>
  <si>
    <t xml:space="preserve">A.5.7</t>
  </si>
  <si>
    <t xml:space="preserve">Threat intelligence</t>
  </si>
  <si>
    <t xml:space="preserve">Treats register risk(s): R-062, R-063.</t>
  </si>
  <si>
    <t xml:space="preserve">R-062, R-063</t>
  </si>
  <si>
    <t xml:space="preserve">Chief Information Security Officer</t>
  </si>
  <si>
    <t xml:space="preserve">R-062: Run quarterly threat hunting; join industry information-sharing group.</t>
  </si>
  <si>
    <t xml:space="preserve">A.5.8</t>
  </si>
  <si>
    <t xml:space="preserve">Information security in project management</t>
  </si>
  <si>
    <t xml:space="preserve">A.5.9</t>
  </si>
  <si>
    <t xml:space="preserve">Inventory of information and other associated assets</t>
  </si>
  <si>
    <t xml:space="preserve">Treats register risk(s): R-033, R-053.</t>
  </si>
  <si>
    <t xml:space="preserve">R-033, R-053</t>
  </si>
  <si>
    <t xml:space="preserve">Chief Information Officer</t>
  </si>
  <si>
    <t xml:space="preserve">R-033: Decommission or migrate EOL systems; apply compensating controls until retired.</t>
  </si>
  <si>
    <t xml:space="preserve">A.5.10</t>
  </si>
  <si>
    <t xml:space="preserve">Acceptable use of information and other associated assets</t>
  </si>
  <si>
    <t xml:space="preserve">Treats register risk(s): R-053.</t>
  </si>
  <si>
    <t xml:space="preserve">R-053</t>
  </si>
  <si>
    <t xml:space="preserve">R-053: Accept residual risk; review SaaS discovery quarterly and onboard high-use tools.</t>
  </si>
  <si>
    <t xml:space="preserve">A.5.11</t>
  </si>
  <si>
    <t xml:space="preserve">Return of assets</t>
  </si>
  <si>
    <t xml:space="preserve">A.5.12</t>
  </si>
  <si>
    <t xml:space="preserve">Classification of information</t>
  </si>
  <si>
    <t xml:space="preserve">Treats register risk(s): R-042.</t>
  </si>
  <si>
    <t xml:space="preserve">R-042</t>
  </si>
  <si>
    <t xml:space="preserve">Head of Data Governance</t>
  </si>
  <si>
    <t xml:space="preserve">R-042: Roll out auto-labelling; enforce retention and deletion on file shares.</t>
  </si>
  <si>
    <t xml:space="preserve">A.5.13</t>
  </si>
  <si>
    <t xml:space="preserve">Labelling of information</t>
  </si>
  <si>
    <t xml:space="preserve">A.5.14</t>
  </si>
  <si>
    <t xml:space="preserve">Information transfer</t>
  </si>
  <si>
    <t xml:space="preserve">Treats register risk(s): R-046, R-059.</t>
  </si>
  <si>
    <t xml:space="preserve">R-046, R-059</t>
  </si>
  <si>
    <t xml:space="preserve">R-059: Add external-sender banners and lookalike domain monitoring; run finance fraud drills.</t>
  </si>
  <si>
    <t xml:space="preserve">A.5.15</t>
  </si>
  <si>
    <t xml:space="preserve">Access control</t>
  </si>
  <si>
    <t xml:space="preserve">Treats register risk(s): R-026, R-052.</t>
  </si>
  <si>
    <t xml:space="preserve">R-026, R-052</t>
  </si>
  <si>
    <t xml:space="preserve">R-052: Adopt least-privilege roles through CIEM; remove unused permissions.</t>
  </si>
  <si>
    <t xml:space="preserve">A.5.16</t>
  </si>
  <si>
    <t xml:space="preserve">Identity management</t>
  </si>
  <si>
    <t xml:space="preserve">Treats register risk(s): R-025, R-029.</t>
  </si>
  <si>
    <t xml:space="preserve">R-025, R-029</t>
  </si>
  <si>
    <t xml:space="preserve">R-025: Integrate HR system with identity provider for automated deprovisioning within 24 hours.</t>
  </si>
  <si>
    <t xml:space="preserve">A.5.17</t>
  </si>
  <si>
    <t xml:space="preserve">Authentication information</t>
  </si>
  <si>
    <t xml:space="preserve">Treats register risk(s): R-027, R-050, R-070.</t>
  </si>
  <si>
    <t xml:space="preserve">R-027, R-050, R-070</t>
  </si>
  <si>
    <t xml:space="preserve">R-027: Inventory all service accounts; migrate secrets to vault with automatic rotation.</t>
  </si>
  <si>
    <t xml:space="preserve">A.5.18</t>
  </si>
  <si>
    <t xml:space="preserve">Access rights</t>
  </si>
  <si>
    <t xml:space="preserve">Treats register risk(s): R-023, R-025, R-026, R-029.</t>
  </si>
  <si>
    <t xml:space="preserve">R-023, R-025, R-026, R-029</t>
  </si>
  <si>
    <t xml:space="preserve">R-023: Complete tiered admin model; enforce just-in-time admin access; rotate break-glass credentials.</t>
  </si>
  <si>
    <t xml:space="preserve">A.5.19</t>
  </si>
  <si>
    <t xml:space="preserve">Information security in supplier relationships</t>
  </si>
  <si>
    <t xml:space="preserve">Treats register risk(s): R-066, R-074.</t>
  </si>
  <si>
    <t xml:space="preserve">R-066, R-074</t>
  </si>
  <si>
    <t xml:space="preserve">Chief Procurement Officer</t>
  </si>
  <si>
    <t xml:space="preserve">R-066: Extend due diligence to Tier-2 vendors; confirm cyber insurance covers contingent business interruption.</t>
  </si>
  <si>
    <t xml:space="preserve">A.5.20</t>
  </si>
  <si>
    <t xml:space="preserve">Addressing information security within supplier agreements</t>
  </si>
  <si>
    <t xml:space="preserve">Treats register risk(s): R-066, R-073.</t>
  </si>
  <si>
    <t xml:space="preserve">R-066, R-073</t>
  </si>
  <si>
    <t xml:space="preserve">A.5.21</t>
  </si>
  <si>
    <t xml:space="preserve">Managing information security in the ICT supply chain</t>
  </si>
  <si>
    <t xml:space="preserve">Treats register risk(s): R-067, R-072, R-074.</t>
  </si>
  <si>
    <t xml:space="preserve">R-067, R-072, R-074</t>
  </si>
  <si>
    <t xml:space="preserve">R-067: Move MSP access to just-in-time with session recording; add right-to-audit clauses.</t>
  </si>
  <si>
    <t xml:space="preserve">A.5.22</t>
  </si>
  <si>
    <t xml:space="preserve">Monitoring, review and change management of supplier services</t>
  </si>
  <si>
    <t xml:space="preserve">Treats register risk(s): R-066, R-067, R-072, R-073.</t>
  </si>
  <si>
    <t xml:space="preserve">R-066, R-067, R-072, R-073</t>
  </si>
  <si>
    <t xml:space="preserve">A.5.23</t>
  </si>
  <si>
    <t xml:space="preserve">Information security for use of cloud services</t>
  </si>
  <si>
    <t xml:space="preserve">Treats register risk(s): R-047, R-053.</t>
  </si>
  <si>
    <t xml:space="preserve">R-047, R-053</t>
  </si>
  <si>
    <t xml:space="preserve">Head of Cloud Platform</t>
  </si>
  <si>
    <t xml:space="preserve">R-047: Enforce policy-as-code guardrails; auto-remediate public storage.</t>
  </si>
  <si>
    <t xml:space="preserve">A.5.24</t>
  </si>
  <si>
    <t xml:space="preserve">Information security incident management planning and preparation</t>
  </si>
  <si>
    <t xml:space="preserve">Treats register risk(s): R-058, R-061, R-064.</t>
  </si>
  <si>
    <t xml:space="preserve">R-058, R-061, R-064</t>
  </si>
  <si>
    <t xml:space="preserve">R-061: Deploy immutable backups; extend EDR to 100%; run ransomware tabletop; agree IR and forensics retainer.</t>
  </si>
  <si>
    <t xml:space="preserve">A.5.25</t>
  </si>
  <si>
    <t xml:space="preserve">Assessment and decision on information security events</t>
  </si>
  <si>
    <t xml:space="preserve">Treats register risk(s): R-058.</t>
  </si>
  <si>
    <t xml:space="preserve">R-058</t>
  </si>
  <si>
    <t xml:space="preserve">R-058: Hold biannual executive tabletop exercises; update communications playbooks.</t>
  </si>
  <si>
    <t xml:space="preserve">A.5.26</t>
  </si>
  <si>
    <t xml:space="preserve">Response to information security incidents</t>
  </si>
  <si>
    <t xml:space="preserve">A.5.27</t>
  </si>
  <si>
    <t xml:space="preserve">Learning from information security incidents</t>
  </si>
  <si>
    <t xml:space="preserve">A.5.28</t>
  </si>
  <si>
    <t xml:space="preserve">Collection of evidence</t>
  </si>
  <si>
    <t xml:space="preserve">A.5.29</t>
  </si>
  <si>
    <t xml:space="preserve">Information security during disruption</t>
  </si>
  <si>
    <t xml:space="preserve">Treats register risk(s): R-071.</t>
  </si>
  <si>
    <t xml:space="preserve">R-071</t>
  </si>
  <si>
    <t xml:space="preserve">R-071: Run annual failover test to secondary region; evaluate multi-cloud for critical workloads.</t>
  </si>
  <si>
    <t xml:space="preserve">A.5.30</t>
  </si>
  <si>
    <t xml:space="preserve">ICT readiness for business continuity</t>
  </si>
  <si>
    <t xml:space="preserve">A.5.31</t>
  </si>
  <si>
    <t xml:space="preserve">Legal, statutory, regulatory and contractual requirements</t>
  </si>
  <si>
    <t xml:space="preserve">Treats register risk(s): R-043, R-064.</t>
  </si>
  <si>
    <t xml:space="preserve">R-043, R-064</t>
  </si>
  <si>
    <t xml:space="preserve">General Counsel</t>
  </si>
  <si>
    <t xml:space="preserve">R-043: Complete transfer impact assessments for all vendors; map data flows.</t>
  </si>
  <si>
    <t xml:space="preserve">A.5.32</t>
  </si>
  <si>
    <t xml:space="preserve">Intellectual property rights</t>
  </si>
  <si>
    <t xml:space="preserve">A.5.33</t>
  </si>
  <si>
    <t xml:space="preserve">Protection of records</t>
  </si>
  <si>
    <t xml:space="preserve">A.5.34</t>
  </si>
  <si>
    <t xml:space="preserve">Privacy and protection of PII</t>
  </si>
  <si>
    <t xml:space="preserve">Treats register risk(s): R-039, R-043, R-064.</t>
  </si>
  <si>
    <t xml:space="preserve">R-039, R-043, R-064</t>
  </si>
  <si>
    <t xml:space="preserve">R-039: Refresh ROPA; implement field-level encryption for HR and loyalty data.</t>
  </si>
  <si>
    <t xml:space="preserve">A.5.35</t>
  </si>
  <si>
    <t xml:space="preserve">Independent review of information security</t>
  </si>
  <si>
    <t xml:space="preserve">A.5.36</t>
  </si>
  <si>
    <t xml:space="preserve">Compliance with policies, rules and standards for information security</t>
  </si>
  <si>
    <t xml:space="preserve">A.5.37</t>
  </si>
  <si>
    <t xml:space="preserve">Documented operating procedures</t>
  </si>
  <si>
    <t xml:space="preserve">A.6.1</t>
  </si>
  <si>
    <t xml:space="preserve">Screening</t>
  </si>
  <si>
    <t xml:space="preserve">Treats register risk(s): R-041, R-060.</t>
  </si>
  <si>
    <t xml:space="preserve">R-041, R-060</t>
  </si>
  <si>
    <t xml:space="preserve">R-041: Deploy user behaviour analytics; extend DLP to cloud storage.</t>
  </si>
  <si>
    <t xml:space="preserve">A.6.2</t>
  </si>
  <si>
    <t xml:space="preserve">Terms and conditions of employment</t>
  </si>
  <si>
    <t xml:space="preserve">A.6.3</t>
  </si>
  <si>
    <t xml:space="preserve">Information security awareness, education and training</t>
  </si>
  <si>
    <t xml:space="preserve">Treats register risk(s): R-011, R-013, R-046, R-059.</t>
  </si>
  <si>
    <t xml:space="preserve">R-011, R-013, R-046, R-059</t>
  </si>
  <si>
    <t xml:space="preserve">R-013: Roll out phishing-resistant MFA for finance, HR and admins; gate access on device compliance.</t>
  </si>
  <si>
    <t xml:space="preserve">A.6.4</t>
  </si>
  <si>
    <t xml:space="preserve">Disciplinary process</t>
  </si>
  <si>
    <t xml:space="preserve">A.6.5</t>
  </si>
  <si>
    <t xml:space="preserve">Responsibilities after termination or change of employment</t>
  </si>
  <si>
    <t xml:space="preserve">Treats register risk(s): R-025, R-044.</t>
  </si>
  <si>
    <t xml:space="preserve">R-025, R-044</t>
  </si>
  <si>
    <t xml:space="preserve">A.6.6</t>
  </si>
  <si>
    <t xml:space="preserve">Confidentiality or non-disclosure agreements</t>
  </si>
  <si>
    <t xml:space="preserve">Treats register risk(s): R-044.</t>
  </si>
  <si>
    <t xml:space="preserve">R-044</t>
  </si>
  <si>
    <t xml:space="preserve">Chief People Officer</t>
  </si>
  <si>
    <t xml:space="preserve">R-044: Review data activity of leavers; restrict bulk download from R&amp;D repositories.</t>
  </si>
  <si>
    <t xml:space="preserve">A.6.7</t>
  </si>
  <si>
    <t xml:space="preserve">Remote working</t>
  </si>
  <si>
    <t xml:space="preserve">Treats register risk(s): R-013, R-014.</t>
  </si>
  <si>
    <t xml:space="preserve">R-013, R-014</t>
  </si>
  <si>
    <t xml:space="preserve">A.6.8</t>
  </si>
  <si>
    <t xml:space="preserve">Information security event reporting</t>
  </si>
  <si>
    <t xml:space="preserve">A.7.1</t>
  </si>
  <si>
    <t xml:space="preserve">Physical security perimeters</t>
  </si>
  <si>
    <t xml:space="preserve">A.7.2</t>
  </si>
  <si>
    <t xml:space="preserve">Physical entry</t>
  </si>
  <si>
    <t xml:space="preserve">A.7.3</t>
  </si>
  <si>
    <t xml:space="preserve">Securing offices, rooms and facilities</t>
  </si>
  <si>
    <t xml:space="preserve">A.7.4</t>
  </si>
  <si>
    <t xml:space="preserve">Physical security monitoring</t>
  </si>
  <si>
    <t xml:space="preserve">A.7.5</t>
  </si>
  <si>
    <t xml:space="preserve">Protecting against physical and environmental threats</t>
  </si>
  <si>
    <t xml:space="preserve">A.7.6</t>
  </si>
  <si>
    <t xml:space="preserve">Working in secure areas</t>
  </si>
  <si>
    <t xml:space="preserve">A.7.7</t>
  </si>
  <si>
    <t xml:space="preserve">Clear desk and clear screen</t>
  </si>
  <si>
    <t xml:space="preserve">A.7.8</t>
  </si>
  <si>
    <t xml:space="preserve">Equipment siting and protection</t>
  </si>
  <si>
    <t xml:space="preserve">A.7.9</t>
  </si>
  <si>
    <t xml:space="preserve">Security of assets off-premises</t>
  </si>
  <si>
    <t xml:space="preserve">Treats register risk(s): R-014, R-040.</t>
  </si>
  <si>
    <t xml:space="preserve">R-014, R-040</t>
  </si>
  <si>
    <t xml:space="preserve">R-014: Move to zero-trust network access; restrict BYOD to virtual desktop; refresh remote working policy.</t>
  </si>
  <si>
    <t xml:space="preserve">A.7.10</t>
  </si>
  <si>
    <t xml:space="preserve">Storage media</t>
  </si>
  <si>
    <t xml:space="preserve">A.7.11</t>
  </si>
  <si>
    <t xml:space="preserve">Supporting utilities</t>
  </si>
  <si>
    <t xml:space="preserve">A.7.12</t>
  </si>
  <si>
    <t xml:space="preserve">Cabling security</t>
  </si>
  <si>
    <t xml:space="preserve">A.7.13</t>
  </si>
  <si>
    <t xml:space="preserve">Equipment maintenance</t>
  </si>
  <si>
    <t xml:space="preserve">A.7.14</t>
  </si>
  <si>
    <t xml:space="preserve">Secure disposal or re-use of equipment</t>
  </si>
  <si>
    <t xml:space="preserve">A.8.1</t>
  </si>
  <si>
    <t xml:space="preserve">User endpoint devices</t>
  </si>
  <si>
    <t xml:space="preserve">Treats register risk(s): R-014, R-030, R-037, R-040.</t>
  </si>
  <si>
    <t xml:space="preserve">R-014, R-030, R-037, R-040</t>
  </si>
  <si>
    <t xml:space="preserve">R-030: Enforce device-bound sessions; block unmanaged devices from sensitive apps.</t>
  </si>
  <si>
    <t xml:space="preserve">A.8.2</t>
  </si>
  <si>
    <t xml:space="preserve">Privileged access rights</t>
  </si>
  <si>
    <t xml:space="preserve">Treats register risk(s): R-023, R-027, R-052, R-060, R-067.</t>
  </si>
  <si>
    <t xml:space="preserve">R-023, R-027, R-052, R-060, R-067</t>
  </si>
  <si>
    <t xml:space="preserve">A.8.3</t>
  </si>
  <si>
    <t xml:space="preserve">Information access restriction</t>
  </si>
  <si>
    <t xml:space="preserve">A.8.4</t>
  </si>
  <si>
    <t xml:space="preserve">Access to source code</t>
  </si>
  <si>
    <t xml:space="preserve">Treats register risk(s): R-050.</t>
  </si>
  <si>
    <t xml:space="preserve">R-050</t>
  </si>
  <si>
    <t xml:space="preserve">Head of Engineering</t>
  </si>
  <si>
    <t xml:space="preserve">R-050: Enforce secret scanning org-wide; rotate all exposed keys; purge history.</t>
  </si>
  <si>
    <t xml:space="preserve">A.8.5</t>
  </si>
  <si>
    <t xml:space="preserve">Secure authentication</t>
  </si>
  <si>
    <t xml:space="preserve">Treats register risk(s): R-013, R-024, R-028, R-030, R-054.</t>
  </si>
  <si>
    <t xml:space="preserve">R-013, R-024, R-028, R-030, R-054</t>
  </si>
  <si>
    <t xml:space="preserve">A.8.6</t>
  </si>
  <si>
    <t xml:space="preserve">Capacity management</t>
  </si>
  <si>
    <t xml:space="preserve">Treats register risk(s): R-035.</t>
  </si>
  <si>
    <t xml:space="preserve">R-035</t>
  </si>
  <si>
    <t xml:space="preserve">R-035: Test DDoS runbook; tune rate limits before peak season.</t>
  </si>
  <si>
    <t xml:space="preserve">A.8.7</t>
  </si>
  <si>
    <t xml:space="preserve">Protection against malware</t>
  </si>
  <si>
    <t xml:space="preserve">Treats register risk(s): R-030, R-061.</t>
  </si>
  <si>
    <t xml:space="preserve">R-030, R-061</t>
  </si>
  <si>
    <t xml:space="preserve">A.8.8</t>
  </si>
  <si>
    <t xml:space="preserve">Management of technical vulnerabilities</t>
  </si>
  <si>
    <t xml:space="preserve">Treats register risk(s): R-031, R-032, R-033.</t>
  </si>
  <si>
    <t xml:space="preserve">R-031, R-032, R-033</t>
  </si>
  <si>
    <t xml:space="preserve">Head of IT Operations</t>
  </si>
  <si>
    <t xml:space="preserve">R-031: Introduce risk-based patch SLAs (critical within 7 days); weekly external scans.</t>
  </si>
  <si>
    <t xml:space="preserve">A.8.9</t>
  </si>
  <si>
    <t xml:space="preserve">Configuration management</t>
  </si>
  <si>
    <t xml:space="preserve">Treats register risk(s): R-031, R-036, R-047, R-054, R-056, R-070.</t>
  </si>
  <si>
    <t xml:space="preserve">R-031, R-036, R-047, R-054, R-056, R-070</t>
  </si>
  <si>
    <t xml:space="preserve">A.8.10</t>
  </si>
  <si>
    <t xml:space="preserve">Information deletion</t>
  </si>
  <si>
    <t xml:space="preserve">A.8.11</t>
  </si>
  <si>
    <t xml:space="preserve">Data masking</t>
  </si>
  <si>
    <t xml:space="preserve">A.8.12</t>
  </si>
  <si>
    <t xml:space="preserve">Data leakage prevention</t>
  </si>
  <si>
    <t xml:space="preserve">Treats register risk(s): R-008, R-041, R-044, R-046.</t>
  </si>
  <si>
    <t xml:space="preserve">R-008, R-041, R-044, R-046</t>
  </si>
  <si>
    <t xml:space="preserve">R-008: Deploy DLP rules for external AI services; publish AI tool register; mandatory AI-use training.</t>
  </si>
  <si>
    <t xml:space="preserve">A.8.13</t>
  </si>
  <si>
    <t xml:space="preserve">Information backup</t>
  </si>
  <si>
    <t xml:space="preserve">Treats register risk(s): R-045, R-061.</t>
  </si>
  <si>
    <t xml:space="preserve">R-045, R-061</t>
  </si>
  <si>
    <t xml:space="preserve">A.8.14</t>
  </si>
  <si>
    <t xml:space="preserve">Redundancy of information processing facilities</t>
  </si>
  <si>
    <t xml:space="preserve">Treats register risk(s): R-045, R-071.</t>
  </si>
  <si>
    <t xml:space="preserve">R-045, R-071</t>
  </si>
  <si>
    <t xml:space="preserve">R-045: Run quarterly restore tests of tier-1 systems; keep immutable copy in a separate account.</t>
  </si>
  <si>
    <t xml:space="preserve">A.8.15</t>
  </si>
  <si>
    <t xml:space="preserve">Logging</t>
  </si>
  <si>
    <t xml:space="preserve">Treats register risk(s): R-054, R-057, R-060.</t>
  </si>
  <si>
    <t xml:space="preserve">R-054, R-057, R-060</t>
  </si>
  <si>
    <t xml:space="preserve">R-057: Onboard cloud and SaaS logs; engage MDR provider for 24x7 coverage.</t>
  </si>
  <si>
    <t xml:space="preserve">A.8.16</t>
  </si>
  <si>
    <t xml:space="preserve">Monitoring activities</t>
  </si>
  <si>
    <t xml:space="preserve">Treats register risk(s): R-041, R-057, R-062, R-065.</t>
  </si>
  <si>
    <t xml:space="preserve">R-041, R-057, R-062, R-065</t>
  </si>
  <si>
    <t xml:space="preserve">A.8.17</t>
  </si>
  <si>
    <t xml:space="preserve">Clock synchronization</t>
  </si>
  <si>
    <t xml:space="preserve">A.8.18</t>
  </si>
  <si>
    <t xml:space="preserve">Use of privileged utility programs</t>
  </si>
  <si>
    <t xml:space="preserve">A.8.19</t>
  </si>
  <si>
    <t xml:space="preserve">Installation of software on operational systems</t>
  </si>
  <si>
    <t xml:space="preserve">A.8.20</t>
  </si>
  <si>
    <t xml:space="preserve">Networks security</t>
  </si>
  <si>
    <t xml:space="preserve">Treats register risk(s): R-028, R-032, R-034, R-035, R-036, R-037, R-038, R-051, R-068.</t>
  </si>
  <si>
    <t xml:space="preserve">R-028, R-032, R-034, R-035, R-036, R-037, R-038, R-051, R-068</t>
  </si>
  <si>
    <t xml:space="preserve">Head of Network Engineering</t>
  </si>
  <si>
    <t xml:space="preserve">R-032: Adopt zero-trust access to replace legacy VPN; add edge device integrity monitoring.</t>
  </si>
  <si>
    <t xml:space="preserve">A.8.21</t>
  </si>
  <si>
    <t xml:space="preserve">Security of network services</t>
  </si>
  <si>
    <t xml:space="preserve">Treats register risk(s): R-032, R-038.</t>
  </si>
  <si>
    <t xml:space="preserve">R-032, R-038</t>
  </si>
  <si>
    <t xml:space="preserve">A.8.22</t>
  </si>
  <si>
    <t xml:space="preserve">Segregation of networks</t>
  </si>
  <si>
    <t xml:space="preserve">Treats register risk(s): R-012, R-034.</t>
  </si>
  <si>
    <t xml:space="preserve">R-012, R-034</t>
  </si>
  <si>
    <t xml:space="preserve">R-012: Segment remaining 5 plants; build OT asset inventory with passive monitoring; run manual-mode production drills.</t>
  </si>
  <si>
    <t xml:space="preserve">A.8.23</t>
  </si>
  <si>
    <t xml:space="preserve">Web filtering</t>
  </si>
  <si>
    <t xml:space="preserve">A.8.24</t>
  </si>
  <si>
    <t xml:space="preserve">Use of cryptography</t>
  </si>
  <si>
    <t xml:space="preserve">Treats register risk(s): R-039, R-040, R-050.</t>
  </si>
  <si>
    <t xml:space="preserve">R-039, R-040, R-050</t>
  </si>
  <si>
    <t xml:space="preserve">Data Protection Officer</t>
  </si>
  <si>
    <t xml:space="preserve">A.8.25</t>
  </si>
  <si>
    <t xml:space="preserve">Secure development life cycle</t>
  </si>
  <si>
    <t xml:space="preserve">Treats register risk(s): R-048, R-049.</t>
  </si>
  <si>
    <t xml:space="preserve">R-048, R-049</t>
  </si>
  <si>
    <t xml:space="preserve">R-049: Generate SBOMs; enforce signed builds; block packages with critical CVEs.</t>
  </si>
  <si>
    <t xml:space="preserve">A.8.26</t>
  </si>
  <si>
    <t xml:space="preserve">Application security requirements</t>
  </si>
  <si>
    <t xml:space="preserve">Treats register risk(s): R-051.</t>
  </si>
  <si>
    <t xml:space="preserve">R-051</t>
  </si>
  <si>
    <t xml:space="preserve">Chief Digital Officer</t>
  </si>
  <si>
    <t xml:space="preserve">R-051: Inventory shadow APIs; add schema validation and object-level authorisation tests.</t>
  </si>
  <si>
    <t xml:space="preserve">A.8.27</t>
  </si>
  <si>
    <t xml:space="preserve">Secure system architecture and engineering principles</t>
  </si>
  <si>
    <t xml:space="preserve">Treats register risk(s): R-056.</t>
  </si>
  <si>
    <t xml:space="preserve">R-056</t>
  </si>
  <si>
    <t xml:space="preserve">R-056: Enforce admission control policies; add runtime threat detection.</t>
  </si>
  <si>
    <t xml:space="preserve">A.8.28</t>
  </si>
  <si>
    <t xml:space="preserve">Secure coding</t>
  </si>
  <si>
    <t xml:space="preserve">Treats register risk(s): R-048.</t>
  </si>
  <si>
    <t xml:space="preserve">R-048</t>
  </si>
  <si>
    <t xml:space="preserve">R-048: Add DAST to staging; secure coding training for all developers.</t>
  </si>
  <si>
    <t xml:space="preserve">A.8.29</t>
  </si>
  <si>
    <t xml:space="preserve">Security testing in development and acceptance</t>
  </si>
  <si>
    <t xml:space="preserve">A.8.30</t>
  </si>
  <si>
    <t xml:space="preserve">Outsourced development</t>
  </si>
  <si>
    <t xml:space="preserve">Treats register risk(s): R-049.</t>
  </si>
  <si>
    <t xml:space="preserve">R-049</t>
  </si>
  <si>
    <t xml:space="preserve">A.8.31</t>
  </si>
  <si>
    <t xml:space="preserve">Separation of development, test and production environments</t>
  </si>
  <si>
    <t xml:space="preserve">Treats register risk(s): R-055.</t>
  </si>
  <si>
    <t xml:space="preserve">R-055</t>
  </si>
  <si>
    <t xml:space="preserve">R-055: Completed: monitor change failure rate.</t>
  </si>
  <si>
    <t xml:space="preserve">A.8.32</t>
  </si>
  <si>
    <t xml:space="preserve">Change management</t>
  </si>
  <si>
    <t xml:space="preserve">Treats register risk(s): R-036, R-055.</t>
  </si>
  <si>
    <t xml:space="preserve">R-036, R-055</t>
  </si>
  <si>
    <t xml:space="preserve">R-036: Run automated rule-base clean-up; set 6-monthly recertification.</t>
  </si>
  <si>
    <t xml:space="preserve">A.8.33</t>
  </si>
  <si>
    <t xml:space="preserve">Test information</t>
  </si>
  <si>
    <t xml:space="preserve">A.8.34</t>
  </si>
  <si>
    <t xml:space="preserve">Protection of information systems during audit testing</t>
  </si>
  <si>
    <t xml:space="preserve">Risk ID</t>
  </si>
  <si>
    <t xml:space="preserve">Risk title</t>
  </si>
  <si>
    <t xml:space="preserve">Category</t>
  </si>
  <si>
    <t xml:space="preserve">Annex A control</t>
  </si>
  <si>
    <t xml:space="preserve">Residual score</t>
  </si>
  <si>
    <t xml:space="preserve">Control effectiveness</t>
  </si>
  <si>
    <t xml:space="preserve">Within appetite?</t>
  </si>
  <si>
    <t xml:space="preserve">Treatment plan (from register)</t>
  </si>
  <si>
    <t xml:space="preserve">Risk owner</t>
  </si>
  <si>
    <t xml:space="preserve">R-008</t>
  </si>
  <si>
    <t xml:space="preserve">Confidential data leakage through generative AI tools</t>
  </si>
  <si>
    <t xml:space="preserve">Technology &amp; AI</t>
  </si>
  <si>
    <t xml:space="preserve">Adequate</t>
  </si>
  <si>
    <t xml:space="preserve">Deploy DLP rules for external AI services; publish AI tool register; mandatory AI-use training.</t>
  </si>
  <si>
    <t xml:space="preserve">R-011</t>
  </si>
  <si>
    <t xml:space="preserve">Deepfake-enabled payment fraud and executive impersonation</t>
  </si>
  <si>
    <t xml:space="preserve">Cyber: Identity &amp; Access</t>
  </si>
  <si>
    <t xml:space="preserve">Introduce out-of-band codeword verification for executive payment requests; run deepfake awareness drills.</t>
  </si>
  <si>
    <t xml:space="preserve">R-012</t>
  </si>
  <si>
    <t xml:space="preserve">Ransomware targeting plant operational technology (OT)</t>
  </si>
  <si>
    <t xml:space="preserve">Cyber: OT &amp; Third-Party</t>
  </si>
  <si>
    <t xml:space="preserve">Weak</t>
  </si>
  <si>
    <t xml:space="preserve">No</t>
  </si>
  <si>
    <t xml:space="preserve">Segment remaining 5 plants; build OT asset inventory with passive monitoring; run manual-mode production drills.</t>
  </si>
  <si>
    <t xml:space="preserve">R-013</t>
  </si>
  <si>
    <t xml:space="preserve">Phishing and credential theft targeting remote workers</t>
  </si>
  <si>
    <t xml:space="preserve">Roll out phishing-resistant MFA for finance, HR and admins; gate access on device compliance.</t>
  </si>
  <si>
    <t xml:space="preserve">R-014</t>
  </si>
  <si>
    <t xml:space="preserve">Hybrid work weakens security and compliance controls</t>
  </si>
  <si>
    <t xml:space="preserve">Workforce &amp; Operating Model</t>
  </si>
  <si>
    <t xml:space="preserve">Move to zero-trust network access; restrict BYOD to virtual desktop; refresh remote working policy.</t>
  </si>
  <si>
    <t xml:space="preserve">R-023</t>
  </si>
  <si>
    <t xml:space="preserve">Compromise of privileged and domain admin accounts</t>
  </si>
  <si>
    <t xml:space="preserve">Complete tiered admin model; enforce just-in-time admin access; rotate break-glass credentials.</t>
  </si>
  <si>
    <t xml:space="preserve">R-024</t>
  </si>
  <si>
    <t xml:space="preserve">MFA fatigue and push-bombing attacks</t>
  </si>
  <si>
    <t xml:space="preserve">Enable number matching and location context everywhere; move high-risk users to FIDO2 keys.</t>
  </si>
  <si>
    <t xml:space="preserve">Head of Identity &amp; Access</t>
  </si>
  <si>
    <t xml:space="preserve">R-025</t>
  </si>
  <si>
    <t xml:space="preserve">Orphaned and dormant accounts after offboarding</t>
  </si>
  <si>
    <t xml:space="preserve">Integrate HR system with identity provider for automated deprovisioning within 24 hours.</t>
  </si>
  <si>
    <t xml:space="preserve">R-026</t>
  </si>
  <si>
    <t xml:space="preserve">Privilege creep and segregation-of-duties conflicts in ERP</t>
  </si>
  <si>
    <t xml:space="preserve">Run SoD conflict analysis; move finance roles to quarterly recertification.</t>
  </si>
  <si>
    <t xml:space="preserve">R-027</t>
  </si>
  <si>
    <t xml:space="preserve">Service account and API key sprawl with static credentials</t>
  </si>
  <si>
    <t xml:space="preserve">Inventory all service accounts; migrate secrets to vault with automatic rotation.</t>
  </si>
  <si>
    <t xml:space="preserve">R-028</t>
  </si>
  <si>
    <t xml:space="preserve">Credential stuffing against customer and dealer ordering portal</t>
  </si>
  <si>
    <t xml:space="preserve">Enable breached-password screening; offer passkeys and optional MFA for dealers.</t>
  </si>
  <si>
    <t xml:space="preserve">R-029</t>
  </si>
  <si>
    <t xml:space="preserve">Weak access governance for contractors and temporary staff</t>
  </si>
  <si>
    <t xml:space="preserve">Mandatory expiry dates on all contractor accounts; ban shared accounts.</t>
  </si>
  <si>
    <t xml:space="preserve">Chief Operating Officer</t>
  </si>
  <si>
    <t xml:space="preserve">R-030</t>
  </si>
  <si>
    <t xml:space="preserve">Session token theft by infostealer malware bypasses MFA</t>
  </si>
  <si>
    <t xml:space="preserve">Enforce device-bound sessions; block unmanaged devices from sensitive apps.</t>
  </si>
  <si>
    <t xml:space="preserve">R-031</t>
  </si>
  <si>
    <t xml:space="preserve">Unpatched vulnerabilities on internet-facing systems</t>
  </si>
  <si>
    <t xml:space="preserve">Cyber: Network &amp; Infrastructure</t>
  </si>
  <si>
    <t xml:space="preserve">Introduce risk-based patch SLAs (critical within 7 days); weekly external scans.</t>
  </si>
  <si>
    <t xml:space="preserve">R-032</t>
  </si>
  <si>
    <t xml:space="preserve">Zero-day exploitation of VPN and edge appliances</t>
  </si>
  <si>
    <t xml:space="preserve">Adopt zero-trust access to replace legacy VPN; add edge device integrity monitoring.</t>
  </si>
  <si>
    <t xml:space="preserve">R-033</t>
  </si>
  <si>
    <t xml:space="preserve">End-of-life operating systems and software in production</t>
  </si>
  <si>
    <t xml:space="preserve">Decommission or migrate EOL systems; apply compensating controls until retired.</t>
  </si>
  <si>
    <t xml:space="preserve">R-034</t>
  </si>
  <si>
    <t xml:space="preserve">Flat network enables lateral movement after initial compromise</t>
  </si>
  <si>
    <t xml:space="preserve">Implement micro-segmentation for crown-jewel systems; restrict admin protocols between zones.</t>
  </si>
  <si>
    <t xml:space="preserve">DDoS attack on e-commerce and ordering portal</t>
  </si>
  <si>
    <t xml:space="preserve">Test DDoS runbook; tune rate limits before peak season.</t>
  </si>
  <si>
    <t xml:space="preserve">R-036</t>
  </si>
  <si>
    <t xml:space="preserve">Misconfigured and unreviewed firewall rules</t>
  </si>
  <si>
    <t xml:space="preserve">Run automated rule-base clean-up; set 6-monthly recertification.</t>
  </si>
  <si>
    <t xml:space="preserve">R-037</t>
  </si>
  <si>
    <t xml:space="preserve">Rogue devices and insecure wireless at offices and plants</t>
  </si>
  <si>
    <t xml:space="preserve">Extend NAC to plants; scan for rogue access points quarterly.</t>
  </si>
  <si>
    <t xml:space="preserve">R-038</t>
  </si>
  <si>
    <t xml:space="preserve">DNS hijacking, domain expiry or registrar account compromise</t>
  </si>
  <si>
    <t xml:space="preserve">Strong</t>
  </si>
  <si>
    <t xml:space="preserve">Accept residual risk; add expiry alerts and annual domain inventory review.</t>
  </si>
  <si>
    <t xml:space="preserve">R-039</t>
  </si>
  <si>
    <t xml:space="preserve">Personal data breach affecting customers or employees</t>
  </si>
  <si>
    <t xml:space="preserve">Cyber: Data Protection &amp; Privacy</t>
  </si>
  <si>
    <t xml:space="preserve">Refresh ROPA; implement field-level encryption for HR and loyalty data.</t>
  </si>
  <si>
    <t xml:space="preserve">R-040</t>
  </si>
  <si>
    <t xml:space="preserve">Unencrypted data on laptops and removable media</t>
  </si>
  <si>
    <t xml:space="preserve">Completed: monitor encryption compliance quarterly.</t>
  </si>
  <si>
    <t xml:space="preserve">R-041</t>
  </si>
  <si>
    <t xml:space="preserve">Malicious insider exfiltrates sensitive data</t>
  </si>
  <si>
    <t xml:space="preserve">Deploy user behaviour analytics; extend DLP to cloud storage.</t>
  </si>
  <si>
    <t xml:space="preserve">Poor data classification and over-retention</t>
  </si>
  <si>
    <t xml:space="preserve">Roll out auto-labelling; enforce retention and deletion on file shares.</t>
  </si>
  <si>
    <t xml:space="preserve">R-043</t>
  </si>
  <si>
    <t xml:space="preserve">Non-compliant cross-border personal data transfers</t>
  </si>
  <si>
    <t xml:space="preserve">Complete transfer impact assessments for all vendors; map data flows.</t>
  </si>
  <si>
    <t xml:space="preserve">Departing employees take trade secrets and formulations</t>
  </si>
  <si>
    <t xml:space="preserve">Review data activity of leavers; restrict bulk download from R&amp;D repositories.</t>
  </si>
  <si>
    <t xml:space="preserve">R-045</t>
  </si>
  <si>
    <t xml:space="preserve">Backup failure or inability to restore after an attack</t>
  </si>
  <si>
    <t xml:space="preserve">Run quarterly restore tests of tier-1 systems; keep immutable copy in a separate account.</t>
  </si>
  <si>
    <t xml:space="preserve">R-046</t>
  </si>
  <si>
    <t xml:space="preserve">Misdirected emails and over-shared links expose data</t>
  </si>
  <si>
    <t xml:space="preserve">Enable DLP policies for external sharing; default links to internal-only.</t>
  </si>
  <si>
    <t xml:space="preserve">R-047</t>
  </si>
  <si>
    <t xml:space="preserve">Misconfigured cloud storage exposes sensitive data</t>
  </si>
  <si>
    <t xml:space="preserve">Cyber: Application &amp; Cloud</t>
  </si>
  <si>
    <t xml:space="preserve">Enforce policy-as-code guardrails; auto-remediate public storage.</t>
  </si>
  <si>
    <t xml:space="preserve">Insecure code in internally developed applications</t>
  </si>
  <si>
    <t xml:space="preserve">Add DAST to staging; secure coding training for all developers.</t>
  </si>
  <si>
    <t xml:space="preserve">Vulnerable open-source dependencies and software supply chain</t>
  </si>
  <si>
    <t xml:space="preserve">Generate SBOMs; enforce signed builds; block packages with critical CVEs.</t>
  </si>
  <si>
    <t xml:space="preserve">Secrets and API keys hardcoded in code repositories</t>
  </si>
  <si>
    <t xml:space="preserve">Enforce secret scanning org-wide; rotate all exposed keys; purge history.</t>
  </si>
  <si>
    <t xml:space="preserve">Insecure APIs expose ordering and customer data</t>
  </si>
  <si>
    <t xml:space="preserve">Inventory shadow APIs; add schema validation and object-level authorisation tests.</t>
  </si>
  <si>
    <t xml:space="preserve">R-052</t>
  </si>
  <si>
    <t xml:space="preserve">Cloud IAM over-permissioning enables privilege escalation</t>
  </si>
  <si>
    <t xml:space="preserve">Adopt least-privilege roles through CIEM; remove unused permissions.</t>
  </si>
  <si>
    <t xml:space="preserve">Shadow IT and unapproved SaaS usage</t>
  </si>
  <si>
    <t xml:space="preserve">Accept residual risk; review SaaS discovery quarterly and onboard high-use tools.</t>
  </si>
  <si>
    <t xml:space="preserve">R-054</t>
  </si>
  <si>
    <t xml:space="preserve">Compromise of the collaboration and email tenant</t>
  </si>
  <si>
    <t xml:space="preserve">Disable legacy authentication; alert on mailbox rules and risky OAuth consent.</t>
  </si>
  <si>
    <t xml:space="preserve">Uncontrolled changes cause outages and security gaps</t>
  </si>
  <si>
    <t xml:space="preserve">Completed: monitor change failure rate.</t>
  </si>
  <si>
    <t xml:space="preserve">Container and Kubernetes misconfiguration</t>
  </si>
  <si>
    <t xml:space="preserve">Enforce admission control policies; add runtime threat detection.</t>
  </si>
  <si>
    <t xml:space="preserve">R-057</t>
  </si>
  <si>
    <t xml:space="preserve">Inadequate logging and monitoring delays detection</t>
  </si>
  <si>
    <t xml:space="preserve">Cyber: Threat &amp; Incident Response</t>
  </si>
  <si>
    <t xml:space="preserve">Onboard cloud and SaaS logs; engage MDR provider for 24x7 coverage.</t>
  </si>
  <si>
    <t xml:space="preserve">Immature incident response capability</t>
  </si>
  <si>
    <t xml:space="preserve">Hold biannual executive tabletop exercises; update communications playbooks.</t>
  </si>
  <si>
    <t xml:space="preserve">R-059</t>
  </si>
  <si>
    <t xml:space="preserve">Business email compromise targeting finance</t>
  </si>
  <si>
    <t xml:space="preserve">Add external-sender banners and lookalike domain monitoring; run finance fraud drills.</t>
  </si>
  <si>
    <t xml:space="preserve">R-060</t>
  </si>
  <si>
    <t xml:space="preserve">Insider sabotage by a disgruntled employee or administrator</t>
  </si>
  <si>
    <t xml:space="preserve">Add alerts for mass deletions; HR trigger for high-risk exits.</t>
  </si>
  <si>
    <t xml:space="preserve">R-061</t>
  </si>
  <si>
    <t xml:space="preserve">Ransomware attack on corporate IT systems</t>
  </si>
  <si>
    <t xml:space="preserve">Deploy immutable backups; extend EDR to 100%; run ransomware tabletop; agree IR and forensics retainer.</t>
  </si>
  <si>
    <t xml:space="preserve">R-062</t>
  </si>
  <si>
    <t xml:space="preserve">Advanced persistent threat targeting trade secrets</t>
  </si>
  <si>
    <t xml:space="preserve">Run quarterly threat hunting; join industry information-sharing group.</t>
  </si>
  <si>
    <t xml:space="preserve">R-063</t>
  </si>
  <si>
    <t xml:space="preserve">Threat intelligence not integrated into detection</t>
  </si>
  <si>
    <t xml:space="preserve">Automate indicator ingestion; map detections to MITRE ATT&amp;CK.</t>
  </si>
  <si>
    <t xml:space="preserve">Head of Security Operations</t>
  </si>
  <si>
    <t xml:space="preserve">R-064</t>
  </si>
  <si>
    <t xml:space="preserve">Failure to meet regulatory breach notification deadlines</t>
  </si>
  <si>
    <t xml:space="preserve">Pre-draft notification templates per jurisdiction; add 72-hour clock to IR playbook.</t>
  </si>
  <si>
    <t xml:space="preserve">R-065</t>
  </si>
  <si>
    <t xml:space="preserve">Security tool sprawl and alert fatigue in the SOC</t>
  </si>
  <si>
    <t xml:space="preserve">Consolidate overlapping tools; automate top 10 alert types with SOAR.</t>
  </si>
  <si>
    <t xml:space="preserve">R-066</t>
  </si>
  <si>
    <t xml:space="preserve">Third-party vendor breach exposes company data</t>
  </si>
  <si>
    <t xml:space="preserve">Extend due diligence to Tier-2 vendors; confirm cyber insurance covers contingent business interruption.</t>
  </si>
  <si>
    <t xml:space="preserve">R-067</t>
  </si>
  <si>
    <t xml:space="preserve">Compromise of a managed service provider</t>
  </si>
  <si>
    <t xml:space="preserve">Move MSP access to just-in-time with session recording; add right-to-audit clauses.</t>
  </si>
  <si>
    <t xml:space="preserve">R-068</t>
  </si>
  <si>
    <t xml:space="preserve">Insecure remote access by OT vendors to plant systems</t>
  </si>
  <si>
    <t xml:space="preserve">Centralise vendor access through an OT jump server with approval workflow and session recording.</t>
  </si>
  <si>
    <t xml:space="preserve">Head of OT Security</t>
  </si>
  <si>
    <t xml:space="preserve">R-070</t>
  </si>
  <si>
    <t xml:space="preserve">Industrial IoT sensors with default credentials</t>
  </si>
  <si>
    <t xml:space="preserve">Scan for default credentials; rotate passwords; require secure-by-default in tenders.</t>
  </si>
  <si>
    <t xml:space="preserve">Cloud provider concentration and outage</t>
  </si>
  <si>
    <t xml:space="preserve">Run annual failover test to secondary region; evaluate multi-cloud for critical workloads.</t>
  </si>
  <si>
    <t xml:space="preserve">R-072</t>
  </si>
  <si>
    <t xml:space="preserve">Counterfeit or tampered hardware in IT and OT procurement</t>
  </si>
  <si>
    <t xml:space="preserve">Accept residual risk; maintain approved vendor list and spot-check serial numbers.</t>
  </si>
  <si>
    <t xml:space="preserve">R-073</t>
  </si>
  <si>
    <t xml:space="preserve">Weak security clauses in supplier contracts</t>
  </si>
  <si>
    <t xml:space="preserve">Update top 50 legacy contracts at renewal; require breach notification within 48 hours.</t>
  </si>
  <si>
    <t xml:space="preserve">R-074</t>
  </si>
  <si>
    <t xml:space="preserve">Fourth-party cyber exposure through supplier subcontractors</t>
  </si>
  <si>
    <t xml:space="preserve">Require subcontractor lists and flow-down security clauses for critical vendors.</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</si>
</sst>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0"/>
      <color rgb="FFFFFFFF"/>
      <name val="Arial"/>
      <family val="0"/>
      <charset val="1"/>
    </font>
    <font>
      <sz val="10"/>
      <name val="Arial"/>
      <family val="0"/>
      <charset val="1"/>
    </font>
    <font>
      <b val="true"/>
      <sz val="10"/>
      <name val="Arial"/>
      <family val="0"/>
      <charset val="1"/>
    </font>
    <font>
      <sz val="9"/>
      <name val="Arial"/>
      <family val="0"/>
      <charset val="1"/>
    </font>
    <font>
      <sz val="10"/>
      <color rgb="FF0000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FFE699"/>
          <bgColor rgb="FF000000"/>
        </patternFill>
      </fill>
    </dxf>
    <dxf>
      <fill>
        <patternFill patternType="solid">
          <fgColor rgb="FFC6E0B4"/>
          <bgColor rgb="FF000000"/>
        </patternFill>
      </fill>
    </dxf>
    <dxf>
      <fill>
        <patternFill patternType="solid">
          <fgColor rgb="FFE7E6E6"/>
          <bgColor rgb="FF000000"/>
        </patternFill>
      </fill>
    </dxf>
    <dxf>
      <fill>
        <patternFill patternType="solid">
          <fgColor rgb="FFF8CBAD"/>
          <bgColor rgb="FF000000"/>
        </patternFill>
      </fill>
    </dxf>
    <dxf>
      <fill>
        <patternFill>
          <bgColor rgb="FFF8CBAD"/>
        </patternFill>
      </fill>
    </dxf>
    <dxf>
      <fill>
        <patternFill>
          <bgColor rgb="FFFFE699"/>
        </patternFill>
      </fill>
    </dxf>
    <dxf>
      <fill>
        <patternFill>
          <bgColor rgb="FFC6E0B4"/>
        </patternFill>
      </fill>
    </dxf>
    <dxf>
      <fill>
        <patternFill>
          <bgColor rgb="FFE7E6E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7E6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2"/>
    <col collapsed="false" customWidth="true" hidden="false" outlineLevel="0" max="4" min="4" style="0" width="16"/>
    <col collapsed="false" customWidth="true" hidden="false" outlineLevel="0" max="5" min="5" style="0" width="18"/>
    <col collapsed="false" customWidth="true" hidden="false" outlineLevel="0" max="6" min="6"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4" t="s">
        <v>4</v>
      </c>
      <c r="B5" s="4" t="n">
        <f aca="false">COUNTA('Annex A Mapping'!$A$5:$A$97)</f>
        <v>93</v>
      </c>
    </row>
    <row r="6" customFormat="false" ht="15" hidden="false" customHeight="false" outlineLevel="0" collapsed="false">
      <c r="A6" s="4" t="s">
        <v>5</v>
      </c>
      <c r="B6" s="4" t="n">
        <f aca="false">COUNTIF('Annex A Mapping'!$D$5:$D$97,"Yes")</f>
        <v>93</v>
      </c>
    </row>
    <row r="7" customFormat="false" ht="15" hidden="false" customHeight="false" outlineLevel="0" collapsed="false">
      <c r="A7" s="4" t="s">
        <v>6</v>
      </c>
      <c r="B7" s="4" t="n">
        <f aca="false">COUNTIF('Annex A Mapping'!$D$5:$D$97,"No")</f>
        <v>0</v>
      </c>
    </row>
    <row r="8" customFormat="false" ht="15" hidden="false" customHeight="false" outlineLevel="0" collapsed="false">
      <c r="A8" s="4" t="s">
        <v>7</v>
      </c>
      <c r="B8" s="4" t="n">
        <f aca="false">COUNTIF('Annex A Mapping'!$G$5:$G$97,"&gt;0")</f>
        <v>55</v>
      </c>
    </row>
    <row r="9" customFormat="false" ht="15" hidden="false" customHeight="false" outlineLevel="0" collapsed="false">
      <c r="A9" s="4" t="s">
        <v>8</v>
      </c>
      <c r="B9" s="4" t="n">
        <f aca="false">COUNTIFS('Annex A Mapping'!$D$5:$D$97,"Yes",'Annex A Mapping'!$G$5:$G$97,0)</f>
        <v>38</v>
      </c>
    </row>
    <row r="10" customFormat="false" ht="15" hidden="false" customHeight="false" outlineLevel="0" collapsed="false">
      <c r="A10" s="4" t="s">
        <v>9</v>
      </c>
      <c r="B10" s="5" t="n">
        <f aca="false">IF(B6=0,0,COUNTIFS('Annex A Mapping'!$D$5:$D$97,"Yes",'Annex A Mapping'!$G$5:$G$97,"&gt;0")/B6)</f>
        <v>0.591397849462366</v>
      </c>
    </row>
    <row r="11" customFormat="false" ht="15" hidden="false" customHeight="false" outlineLevel="0" collapsed="false">
      <c r="A11" s="4" t="s">
        <v>10</v>
      </c>
      <c r="B11" s="4" t="n">
        <f aca="false">COUNTA('Risk-Control Links'!$A$2:$A$130)</f>
        <v>129</v>
      </c>
    </row>
    <row r="12" customFormat="false" ht="15" hidden="false" customHeight="false" outlineLevel="0" collapsed="false">
      <c r="A12" s="4" t="s">
        <v>11</v>
      </c>
      <c r="B12" s="4" t="n">
        <f aca="false">COUNTIF('Annex A Mapping'!$J$5:$J$97,"Partially implemented")</f>
        <v>28</v>
      </c>
    </row>
    <row r="13" customFormat="false" ht="15" hidden="false" customHeight="false" outlineLevel="0" collapsed="false">
      <c r="A13" s="4" t="s">
        <v>12</v>
      </c>
      <c r="B13" s="4" t="n">
        <f aca="false">COUNTIF('Annex A Mapping'!$K$5:$K$97,"High")</f>
        <v>15</v>
      </c>
    </row>
    <row r="15" customFormat="false" ht="15" hidden="false" customHeight="false" outlineLevel="0" collapsed="false">
      <c r="A15" s="6" t="s">
        <v>13</v>
      </c>
    </row>
    <row r="16" customFormat="false" ht="23.85" hidden="false" customHeight="false" outlineLevel="0" collapsed="false">
      <c r="A16" s="7" t="s">
        <v>14</v>
      </c>
      <c r="B16" s="7" t="s">
        <v>15</v>
      </c>
      <c r="C16" s="7" t="s">
        <v>16</v>
      </c>
      <c r="D16" s="7" t="s">
        <v>17</v>
      </c>
      <c r="E16" s="7" t="s">
        <v>18</v>
      </c>
      <c r="F16" s="7" t="s">
        <v>19</v>
      </c>
    </row>
    <row r="17" customFormat="false" ht="15" hidden="false" customHeight="false" outlineLevel="0" collapsed="false">
      <c r="A17" s="4" t="s">
        <v>20</v>
      </c>
      <c r="B17" s="4" t="n">
        <f aca="false">COUNTIF('Annex A Mapping'!$B$5:$B$97,A17)</f>
        <v>37</v>
      </c>
      <c r="C17" s="4" t="n">
        <f aca="false">COUNTIFS('Annex A Mapping'!$B$5:$B$97,A17,'Annex A Mapping'!$D$5:$D$97,"Yes")</f>
        <v>37</v>
      </c>
      <c r="D17" s="4" t="n">
        <f aca="false">COUNTIFS('Annex A Mapping'!$B$5:$B$97,A17,'Annex A Mapping'!$G$5:$G$97,"&gt;0")</f>
        <v>23</v>
      </c>
      <c r="E17" s="4" t="n">
        <f aca="false">COUNTIFS('Annex A Mapping'!$B$5:$B$97,A17,'Annex A Mapping'!$J$5:$J$97,"Partially implemented")</f>
        <v>11</v>
      </c>
      <c r="F17" s="4" t="n">
        <f aca="false">COUNTIFS('Annex A Mapping'!$B$5:$B$97,A17,'Annex A Mapping'!$K$5:$K$97,"High")</f>
        <v>4</v>
      </c>
    </row>
    <row r="18" customFormat="false" ht="15" hidden="false" customHeight="false" outlineLevel="0" collapsed="false">
      <c r="A18" s="4" t="s">
        <v>21</v>
      </c>
      <c r="B18" s="4" t="n">
        <f aca="false">COUNTIF('Annex A Mapping'!$B$5:$B$97,A18)</f>
        <v>8</v>
      </c>
      <c r="C18" s="4" t="n">
        <f aca="false">COUNTIFS('Annex A Mapping'!$B$5:$B$97,A18,'Annex A Mapping'!$D$5:$D$97,"Yes")</f>
        <v>8</v>
      </c>
      <c r="D18" s="4" t="n">
        <f aca="false">COUNTIFS('Annex A Mapping'!$B$5:$B$97,A18,'Annex A Mapping'!$G$5:$G$97,"&gt;0")</f>
        <v>5</v>
      </c>
      <c r="E18" s="4" t="n">
        <f aca="false">COUNTIFS('Annex A Mapping'!$B$5:$B$97,A18,'Annex A Mapping'!$J$5:$J$97,"Partially implemented")</f>
        <v>1</v>
      </c>
      <c r="F18" s="4" t="n">
        <f aca="false">COUNTIFS('Annex A Mapping'!$B$5:$B$97,A18,'Annex A Mapping'!$K$5:$K$97,"High")</f>
        <v>0</v>
      </c>
    </row>
    <row r="19" customFormat="false" ht="15" hidden="false" customHeight="false" outlineLevel="0" collapsed="false">
      <c r="A19" s="4" t="s">
        <v>22</v>
      </c>
      <c r="B19" s="4" t="n">
        <f aca="false">COUNTIF('Annex A Mapping'!$B$5:$B$97,A19)</f>
        <v>14</v>
      </c>
      <c r="C19" s="4" t="n">
        <f aca="false">COUNTIFS('Annex A Mapping'!$B$5:$B$97,A19,'Annex A Mapping'!$D$5:$D$97,"Yes")</f>
        <v>14</v>
      </c>
      <c r="D19" s="4" t="n">
        <f aca="false">COUNTIFS('Annex A Mapping'!$B$5:$B$97,A19,'Annex A Mapping'!$G$5:$G$97,"&gt;0")</f>
        <v>1</v>
      </c>
      <c r="E19" s="4" t="n">
        <f aca="false">COUNTIFS('Annex A Mapping'!$B$5:$B$97,A19,'Annex A Mapping'!$J$5:$J$97,"Partially implemented")</f>
        <v>0</v>
      </c>
      <c r="F19" s="4" t="n">
        <f aca="false">COUNTIFS('Annex A Mapping'!$B$5:$B$97,A19,'Annex A Mapping'!$K$5:$K$97,"High")</f>
        <v>0</v>
      </c>
    </row>
    <row r="20" customFormat="false" ht="15" hidden="false" customHeight="false" outlineLevel="0" collapsed="false">
      <c r="A20" s="4" t="s">
        <v>23</v>
      </c>
      <c r="B20" s="4" t="n">
        <f aca="false">COUNTIF('Annex A Mapping'!$B$5:$B$97,A20)</f>
        <v>34</v>
      </c>
      <c r="C20" s="4" t="n">
        <f aca="false">COUNTIFS('Annex A Mapping'!$B$5:$B$97,A20,'Annex A Mapping'!$D$5:$D$97,"Yes")</f>
        <v>34</v>
      </c>
      <c r="D20" s="4" t="n">
        <f aca="false">COUNTIFS('Annex A Mapping'!$B$5:$B$97,A20,'Annex A Mapping'!$G$5:$G$97,"&gt;0")</f>
        <v>26</v>
      </c>
      <c r="E20" s="4" t="n">
        <f aca="false">COUNTIFS('Annex A Mapping'!$B$5:$B$97,A20,'Annex A Mapping'!$J$5:$J$97,"Partially implemented")</f>
        <v>16</v>
      </c>
      <c r="F20" s="4" t="n">
        <f aca="false">COUNTIFS('Annex A Mapping'!$B$5:$B$97,A20,'Annex A Mapping'!$K$5:$K$97,"High")</f>
        <v>11</v>
      </c>
    </row>
    <row r="21" customFormat="false" ht="15" hidden="false" customHeight="false" outlineLevel="0" collapsed="false">
      <c r="A21" s="8" t="s">
        <v>24</v>
      </c>
      <c r="B21" s="8" t="n">
        <f aca="false">SUM(B17:B20)</f>
        <v>93</v>
      </c>
      <c r="C21" s="8" t="n">
        <f aca="false">SUM(C17:C20)</f>
        <v>93</v>
      </c>
      <c r="D21" s="8" t="n">
        <f aca="false">SUM(D17:D20)</f>
        <v>55</v>
      </c>
      <c r="E21" s="8" t="n">
        <f aca="false">SUM(E17:E20)</f>
        <v>28</v>
      </c>
      <c r="F21" s="8" t="n">
        <f aca="false">SUM(F17:F20)</f>
        <v>15</v>
      </c>
    </row>
    <row r="23" customFormat="false" ht="15" hidden="false" customHeight="true" outlineLevel="0" collapsed="false">
      <c r="A23" s="9" t="s">
        <v>25</v>
      </c>
      <c r="B23" s="9"/>
      <c r="C23" s="9"/>
      <c r="D23" s="9"/>
      <c r="E23" s="9"/>
      <c r="F23" s="9"/>
    </row>
    <row r="24" customFormat="false" ht="30" hidden="false" customHeight="true" outlineLevel="0" collapsed="false">
      <c r="A24" s="10" t="s">
        <v>26</v>
      </c>
      <c r="B24" s="10"/>
      <c r="C24" s="10"/>
      <c r="D24" s="10"/>
      <c r="E24" s="10"/>
      <c r="F24" s="10"/>
    </row>
    <row r="25" customFormat="false" ht="30" hidden="false" customHeight="true" outlineLevel="0" collapsed="false">
      <c r="A25" s="10" t="s">
        <v>27</v>
      </c>
      <c r="B25" s="10"/>
      <c r="C25" s="10"/>
      <c r="D25" s="10"/>
      <c r="E25" s="10"/>
      <c r="F25" s="10"/>
    </row>
    <row r="26" customFormat="false" ht="30" hidden="false" customHeight="true" outlineLevel="0" collapsed="false">
      <c r="A26" s="10" t="s">
        <v>28</v>
      </c>
      <c r="B26" s="10"/>
      <c r="C26" s="10"/>
      <c r="D26" s="10"/>
      <c r="E26" s="10"/>
      <c r="F26" s="10"/>
    </row>
    <row r="27" customFormat="false" ht="30" hidden="false" customHeight="true" outlineLevel="0" collapsed="false">
      <c r="A27" s="10" t="s">
        <v>29</v>
      </c>
      <c r="B27" s="10"/>
      <c r="C27" s="10"/>
      <c r="D27" s="10"/>
      <c r="E27" s="10"/>
      <c r="F27" s="10"/>
    </row>
    <row r="28" customFormat="false" ht="30" hidden="false" customHeight="true" outlineLevel="0" collapsed="false">
      <c r="A28" s="10" t="s">
        <v>30</v>
      </c>
      <c r="B28" s="10"/>
      <c r="C28" s="10"/>
      <c r="D28" s="10"/>
      <c r="E28" s="10"/>
      <c r="F28" s="10"/>
    </row>
  </sheetData>
  <mergeCells count="6">
    <mergeCell ref="A23:F23"/>
    <mergeCell ref="A24:F24"/>
    <mergeCell ref="A25:F25"/>
    <mergeCell ref="A26:F26"/>
    <mergeCell ref="A27:F27"/>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7"/>
    <col collapsed="false" customWidth="true" hidden="false" outlineLevel="0" max="3" min="3" style="0" width="44"/>
    <col collapsed="false" customWidth="true" hidden="false" outlineLevel="0" max="4" min="4" style="0" width="12"/>
    <col collapsed="false" customWidth="true" hidden="false" outlineLevel="0" max="5" min="5" style="0" width="48"/>
    <col collapsed="false" customWidth="true" hidden="false" outlineLevel="0" max="6" min="6" style="0" width="22"/>
    <col collapsed="false" customWidth="true" hidden="false" outlineLevel="0" max="7" min="7" style="0" width="9"/>
    <col collapsed="false" customWidth="true" hidden="false" outlineLevel="0" max="8" min="8" style="0" width="12"/>
    <col collapsed="false" customWidth="true" hidden="false" outlineLevel="0" max="9" min="9" style="0" width="11"/>
    <col collapsed="false" customWidth="true" hidden="false" outlineLevel="0" max="10" min="10" style="0" width="24"/>
    <col collapsed="false" customWidth="true" hidden="false" outlineLevel="0" max="11" min="11" style="0" width="16"/>
    <col collapsed="false" customWidth="true" hidden="false" outlineLevel="0" max="12" min="12" style="0" width="30"/>
    <col collapsed="false" customWidth="true" hidden="false" outlineLevel="0" max="13" min="13" style="0" width="60"/>
    <col collapsed="false" customWidth="true" hidden="false" outlineLevel="0" max="14" min="14" style="0" width="28"/>
  </cols>
  <sheetData>
    <row r="1" customFormat="false" ht="17.35" hidden="false" customHeight="false" outlineLevel="0" collapsed="false">
      <c r="A1" s="1" t="s">
        <v>31</v>
      </c>
    </row>
    <row r="2" customFormat="false" ht="27.75" hidden="false" customHeight="true" outlineLevel="0" collapsed="false">
      <c r="A2" s="11" t="s">
        <v>32</v>
      </c>
      <c r="B2" s="11"/>
      <c r="C2" s="11"/>
      <c r="D2" s="11"/>
      <c r="E2" s="11"/>
      <c r="F2" s="11"/>
      <c r="G2" s="11"/>
      <c r="H2" s="11"/>
      <c r="I2" s="11"/>
      <c r="J2" s="11"/>
      <c r="K2" s="11"/>
      <c r="L2" s="11"/>
      <c r="M2" s="11"/>
      <c r="N2" s="11"/>
    </row>
    <row r="4" customFormat="false" ht="31.5" hidden="false" customHeight="true" outlineLevel="0" collapsed="false">
      <c r="A4" s="12" t="s">
        <v>33</v>
      </c>
      <c r="B4" s="12" t="s">
        <v>14</v>
      </c>
      <c r="C4" s="12" t="s">
        <v>34</v>
      </c>
      <c r="D4" s="12" t="s">
        <v>35</v>
      </c>
      <c r="E4" s="12" t="s">
        <v>36</v>
      </c>
      <c r="F4" s="12" t="s">
        <v>37</v>
      </c>
      <c r="G4" s="12" t="s">
        <v>38</v>
      </c>
      <c r="H4" s="12" t="s">
        <v>39</v>
      </c>
      <c r="I4" s="12" t="s">
        <v>40</v>
      </c>
      <c r="J4" s="12" t="s">
        <v>41</v>
      </c>
      <c r="K4" s="12" t="s">
        <v>42</v>
      </c>
      <c r="L4" s="12" t="s">
        <v>43</v>
      </c>
      <c r="M4" s="12" t="s">
        <v>44</v>
      </c>
      <c r="N4" s="12" t="s">
        <v>45</v>
      </c>
    </row>
    <row r="5" customFormat="false" ht="23.85" hidden="false" customHeight="false" outlineLevel="0" collapsed="false">
      <c r="A5" s="13" t="s">
        <v>46</v>
      </c>
      <c r="B5" s="13" t="s">
        <v>20</v>
      </c>
      <c r="C5" s="13" t="s">
        <v>47</v>
      </c>
      <c r="D5" s="14" t="s">
        <v>48</v>
      </c>
      <c r="E5" s="14" t="s">
        <v>49</v>
      </c>
      <c r="F5" s="13"/>
      <c r="G5" s="13" t="n">
        <f aca="false">COUNTIF('Risk-Control Links'!$D$2:$D$130,A5)</f>
        <v>0</v>
      </c>
      <c r="H5" s="13" t="n">
        <f aca="false">_xlfn.MAXIFS('Risk-Control Links'!$E$2:$E$130,'Risk-Control Links'!$D$2:$D$130,A5)</f>
        <v>0</v>
      </c>
      <c r="I5" s="13" t="n">
        <f aca="false">COUNTIFS('Risk-Control Links'!$D$2:$D$130,A5,'Risk-Control Links'!$F$2:$F$130,"Weak")</f>
        <v>0</v>
      </c>
      <c r="J5" s="13" t="str">
        <f aca="false">IF(D5&lt;&gt;"Yes","Not applicable",IF(G5=0,"Not assessed",IF(I5&gt;0,"Partially implemented","Largely in place - validate")))</f>
        <v>Not assessed</v>
      </c>
      <c r="K5" s="13" t="str">
        <f aca="false">IF(D5&lt;&gt;"Yes","-",IF(G5=0,"Baseline - confirm",IF(H5&gt;=12,"High",IF(I5&gt;0,"Medium","Low"))))</f>
        <v>Baseline - confirm</v>
      </c>
      <c r="L5" s="13"/>
      <c r="M5" s="13"/>
      <c r="N5" s="14"/>
    </row>
    <row r="6" customFormat="false" ht="23.85" hidden="false" customHeight="false" outlineLevel="0" collapsed="false">
      <c r="A6" s="13" t="s">
        <v>50</v>
      </c>
      <c r="B6" s="13" t="s">
        <v>20</v>
      </c>
      <c r="C6" s="13" t="s">
        <v>51</v>
      </c>
      <c r="D6" s="14" t="s">
        <v>48</v>
      </c>
      <c r="E6" s="14" t="s">
        <v>49</v>
      </c>
      <c r="F6" s="13"/>
      <c r="G6" s="13" t="n">
        <f aca="false">COUNTIF('Risk-Control Links'!$D$2:$D$130,A6)</f>
        <v>0</v>
      </c>
      <c r="H6" s="13" t="n">
        <f aca="false">_xlfn.MAXIFS('Risk-Control Links'!$E$2:$E$130,'Risk-Control Links'!$D$2:$D$130,A6)</f>
        <v>0</v>
      </c>
      <c r="I6" s="13" t="n">
        <f aca="false">COUNTIFS('Risk-Control Links'!$D$2:$D$130,A6,'Risk-Control Links'!$F$2:$F$130,"Weak")</f>
        <v>0</v>
      </c>
      <c r="J6" s="13" t="str">
        <f aca="false">IF(D6&lt;&gt;"Yes","Not applicable",IF(G6=0,"Not assessed",IF(I6&gt;0,"Partially implemented","Largely in place - validate")))</f>
        <v>Not assessed</v>
      </c>
      <c r="K6" s="13" t="str">
        <f aca="false">IF(D6&lt;&gt;"Yes","-",IF(G6=0,"Baseline - confirm",IF(H6&gt;=12,"High",IF(I6&gt;0,"Medium","Low"))))</f>
        <v>Baseline - confirm</v>
      </c>
      <c r="L6" s="13"/>
      <c r="M6" s="13"/>
      <c r="N6" s="14"/>
    </row>
    <row r="7" customFormat="false" ht="23.85" hidden="false" customHeight="false" outlineLevel="0" collapsed="false">
      <c r="A7" s="13" t="s">
        <v>52</v>
      </c>
      <c r="B7" s="13" t="s">
        <v>20</v>
      </c>
      <c r="C7" s="13" t="s">
        <v>53</v>
      </c>
      <c r="D7" s="14" t="s">
        <v>48</v>
      </c>
      <c r="E7" s="14" t="s">
        <v>54</v>
      </c>
      <c r="F7" s="13" t="s">
        <v>55</v>
      </c>
      <c r="G7" s="13" t="n">
        <f aca="false">COUNTIF('Risk-Control Links'!$D$2:$D$130,A7)</f>
        <v>2</v>
      </c>
      <c r="H7" s="13" t="n">
        <f aca="false">_xlfn.MAXIFS('Risk-Control Links'!$E$2:$E$130,'Risk-Control Links'!$D$2:$D$130,A7)</f>
        <v>6</v>
      </c>
      <c r="I7" s="13" t="n">
        <f aca="false">COUNTIFS('Risk-Control Links'!$D$2:$D$130,A7,'Risk-Control Links'!$F$2:$F$130,"Weak")</f>
        <v>0</v>
      </c>
      <c r="J7" s="13" t="str">
        <f aca="false">IF(D7&lt;&gt;"Yes","Not applicable",IF(G7=0,"Not assessed",IF(I7&gt;0,"Partially implemented","Largely in place - validate")))</f>
        <v>Largely in place - validate</v>
      </c>
      <c r="K7" s="13" t="str">
        <f aca="false">IF(D7&lt;&gt;"Yes","-",IF(G7=0,"Baseline - confirm",IF(H7&gt;=12,"High",IF(I7&gt;0,"Medium","Low"))))</f>
        <v>Low</v>
      </c>
      <c r="L7" s="13" t="s">
        <v>56</v>
      </c>
      <c r="M7" s="13" t="s">
        <v>57</v>
      </c>
      <c r="N7" s="14"/>
    </row>
    <row r="8" customFormat="false" ht="23.85" hidden="false" customHeight="false" outlineLevel="0" collapsed="false">
      <c r="A8" s="13" t="s">
        <v>58</v>
      </c>
      <c r="B8" s="13" t="s">
        <v>20</v>
      </c>
      <c r="C8" s="13" t="s">
        <v>59</v>
      </c>
      <c r="D8" s="14" t="s">
        <v>48</v>
      </c>
      <c r="E8" s="14" t="s">
        <v>49</v>
      </c>
      <c r="F8" s="13"/>
      <c r="G8" s="13" t="n">
        <f aca="false">COUNTIF('Risk-Control Links'!$D$2:$D$130,A8)</f>
        <v>0</v>
      </c>
      <c r="H8" s="13" t="n">
        <f aca="false">_xlfn.MAXIFS('Risk-Control Links'!$E$2:$E$130,'Risk-Control Links'!$D$2:$D$130,A8)</f>
        <v>0</v>
      </c>
      <c r="I8" s="13" t="n">
        <f aca="false">COUNTIFS('Risk-Control Links'!$D$2:$D$130,A8,'Risk-Control Links'!$F$2:$F$130,"Weak")</f>
        <v>0</v>
      </c>
      <c r="J8" s="13" t="str">
        <f aca="false">IF(D8&lt;&gt;"Yes","Not applicable",IF(G8=0,"Not assessed",IF(I8&gt;0,"Partially implemented","Largely in place - validate")))</f>
        <v>Not assessed</v>
      </c>
      <c r="K8" s="13" t="str">
        <f aca="false">IF(D8&lt;&gt;"Yes","-",IF(G8=0,"Baseline - confirm",IF(H8&gt;=12,"High",IF(I8&gt;0,"Medium","Low"))))</f>
        <v>Baseline - confirm</v>
      </c>
      <c r="L8" s="13"/>
      <c r="M8" s="13"/>
      <c r="N8" s="14"/>
    </row>
    <row r="9" customFormat="false" ht="23.85" hidden="false" customHeight="false" outlineLevel="0" collapsed="false">
      <c r="A9" s="13" t="s">
        <v>60</v>
      </c>
      <c r="B9" s="13" t="s">
        <v>20</v>
      </c>
      <c r="C9" s="13" t="s">
        <v>61</v>
      </c>
      <c r="D9" s="14" t="s">
        <v>48</v>
      </c>
      <c r="E9" s="14" t="s">
        <v>49</v>
      </c>
      <c r="F9" s="13"/>
      <c r="G9" s="13" t="n">
        <f aca="false">COUNTIF('Risk-Control Links'!$D$2:$D$130,A9)</f>
        <v>0</v>
      </c>
      <c r="H9" s="13" t="n">
        <f aca="false">_xlfn.MAXIFS('Risk-Control Links'!$E$2:$E$130,'Risk-Control Links'!$D$2:$D$130,A9)</f>
        <v>0</v>
      </c>
      <c r="I9" s="13" t="n">
        <f aca="false">COUNTIFS('Risk-Control Links'!$D$2:$D$130,A9,'Risk-Control Links'!$F$2:$F$130,"Weak")</f>
        <v>0</v>
      </c>
      <c r="J9" s="13" t="str">
        <f aca="false">IF(D9&lt;&gt;"Yes","Not applicable",IF(G9=0,"Not assessed",IF(I9&gt;0,"Partially implemented","Largely in place - validate")))</f>
        <v>Not assessed</v>
      </c>
      <c r="K9" s="13" t="str">
        <f aca="false">IF(D9&lt;&gt;"Yes","-",IF(G9=0,"Baseline - confirm",IF(H9&gt;=12,"High",IF(I9&gt;0,"Medium","Low"))))</f>
        <v>Baseline - confirm</v>
      </c>
      <c r="L9" s="13"/>
      <c r="M9" s="13"/>
      <c r="N9" s="14"/>
    </row>
    <row r="10" customFormat="false" ht="23.85" hidden="false" customHeight="false" outlineLevel="0" collapsed="false">
      <c r="A10" s="13" t="s">
        <v>62</v>
      </c>
      <c r="B10" s="13" t="s">
        <v>20</v>
      </c>
      <c r="C10" s="13" t="s">
        <v>63</v>
      </c>
      <c r="D10" s="14" t="s">
        <v>48</v>
      </c>
      <c r="E10" s="14" t="s">
        <v>49</v>
      </c>
      <c r="F10" s="13"/>
      <c r="G10" s="13" t="n">
        <f aca="false">COUNTIF('Risk-Control Links'!$D$2:$D$130,A10)</f>
        <v>0</v>
      </c>
      <c r="H10" s="13" t="n">
        <f aca="false">_xlfn.MAXIFS('Risk-Control Links'!$E$2:$E$130,'Risk-Control Links'!$D$2:$D$130,A10)</f>
        <v>0</v>
      </c>
      <c r="I10" s="13" t="n">
        <f aca="false">COUNTIFS('Risk-Control Links'!$D$2:$D$130,A10,'Risk-Control Links'!$F$2:$F$130,"Weak")</f>
        <v>0</v>
      </c>
      <c r="J10" s="13" t="str">
        <f aca="false">IF(D10&lt;&gt;"Yes","Not applicable",IF(G10=0,"Not assessed",IF(I10&gt;0,"Partially implemented","Largely in place - validate")))</f>
        <v>Not assessed</v>
      </c>
      <c r="K10" s="13" t="str">
        <f aca="false">IF(D10&lt;&gt;"Yes","-",IF(G10=0,"Baseline - confirm",IF(H10&gt;=12,"High",IF(I10&gt;0,"Medium","Low"))))</f>
        <v>Baseline - confirm</v>
      </c>
      <c r="L10" s="13"/>
      <c r="M10" s="13"/>
      <c r="N10" s="14"/>
    </row>
    <row r="11" customFormat="false" ht="23.85" hidden="false" customHeight="false" outlineLevel="0" collapsed="false">
      <c r="A11" s="13" t="s">
        <v>64</v>
      </c>
      <c r="B11" s="13" t="s">
        <v>20</v>
      </c>
      <c r="C11" s="13" t="s">
        <v>65</v>
      </c>
      <c r="D11" s="14" t="s">
        <v>48</v>
      </c>
      <c r="E11" s="14" t="s">
        <v>66</v>
      </c>
      <c r="F11" s="13" t="s">
        <v>67</v>
      </c>
      <c r="G11" s="13" t="n">
        <f aca="false">COUNTIF('Risk-Control Links'!$D$2:$D$130,A11)</f>
        <v>2</v>
      </c>
      <c r="H11" s="13" t="n">
        <f aca="false">_xlfn.MAXIFS('Risk-Control Links'!$E$2:$E$130,'Risk-Control Links'!$D$2:$D$130,A11)</f>
        <v>8</v>
      </c>
      <c r="I11" s="13" t="n">
        <f aca="false">COUNTIFS('Risk-Control Links'!$D$2:$D$130,A11,'Risk-Control Links'!$F$2:$F$130,"Weak")</f>
        <v>0</v>
      </c>
      <c r="J11" s="13" t="str">
        <f aca="false">IF(D11&lt;&gt;"Yes","Not applicable",IF(G11=0,"Not assessed",IF(I11&gt;0,"Partially implemented","Largely in place - validate")))</f>
        <v>Largely in place - validate</v>
      </c>
      <c r="K11" s="13" t="str">
        <f aca="false">IF(D11&lt;&gt;"Yes","-",IF(G11=0,"Baseline - confirm",IF(H11&gt;=12,"High",IF(I11&gt;0,"Medium","Low"))))</f>
        <v>Low</v>
      </c>
      <c r="L11" s="13" t="s">
        <v>68</v>
      </c>
      <c r="M11" s="13" t="s">
        <v>69</v>
      </c>
      <c r="N11" s="14"/>
    </row>
    <row r="12" customFormat="false" ht="23.85" hidden="false" customHeight="false" outlineLevel="0" collapsed="false">
      <c r="A12" s="13" t="s">
        <v>70</v>
      </c>
      <c r="B12" s="13" t="s">
        <v>20</v>
      </c>
      <c r="C12" s="13" t="s">
        <v>71</v>
      </c>
      <c r="D12" s="14" t="s">
        <v>48</v>
      </c>
      <c r="E12" s="14" t="s">
        <v>49</v>
      </c>
      <c r="F12" s="13"/>
      <c r="G12" s="13" t="n">
        <f aca="false">COUNTIF('Risk-Control Links'!$D$2:$D$130,A12)</f>
        <v>0</v>
      </c>
      <c r="H12" s="13" t="n">
        <f aca="false">_xlfn.MAXIFS('Risk-Control Links'!$E$2:$E$130,'Risk-Control Links'!$D$2:$D$130,A12)</f>
        <v>0</v>
      </c>
      <c r="I12" s="13" t="n">
        <f aca="false">COUNTIFS('Risk-Control Links'!$D$2:$D$130,A12,'Risk-Control Links'!$F$2:$F$130,"Weak")</f>
        <v>0</v>
      </c>
      <c r="J12" s="13" t="str">
        <f aca="false">IF(D12&lt;&gt;"Yes","Not applicable",IF(G12=0,"Not assessed",IF(I12&gt;0,"Partially implemented","Largely in place - validate")))</f>
        <v>Not assessed</v>
      </c>
      <c r="K12" s="13" t="str">
        <f aca="false">IF(D12&lt;&gt;"Yes","-",IF(G12=0,"Baseline - confirm",IF(H12&gt;=12,"High",IF(I12&gt;0,"Medium","Low"))))</f>
        <v>Baseline - confirm</v>
      </c>
      <c r="L12" s="13"/>
      <c r="M12" s="13"/>
      <c r="N12" s="14"/>
    </row>
    <row r="13" customFormat="false" ht="23.85" hidden="false" customHeight="false" outlineLevel="0" collapsed="false">
      <c r="A13" s="13" t="s">
        <v>72</v>
      </c>
      <c r="B13" s="13" t="s">
        <v>20</v>
      </c>
      <c r="C13" s="13" t="s">
        <v>73</v>
      </c>
      <c r="D13" s="14" t="s">
        <v>48</v>
      </c>
      <c r="E13" s="14" t="s">
        <v>74</v>
      </c>
      <c r="F13" s="13" t="s">
        <v>75</v>
      </c>
      <c r="G13" s="13" t="n">
        <f aca="false">COUNTIF('Risk-Control Links'!$D$2:$D$130,A13)</f>
        <v>2</v>
      </c>
      <c r="H13" s="13" t="n">
        <f aca="false">_xlfn.MAXIFS('Risk-Control Links'!$E$2:$E$130,'Risk-Control Links'!$D$2:$D$130,A13)</f>
        <v>12</v>
      </c>
      <c r="I13" s="13" t="n">
        <f aca="false">COUNTIFS('Risk-Control Links'!$D$2:$D$130,A13,'Risk-Control Links'!$F$2:$F$130,"Weak")</f>
        <v>1</v>
      </c>
      <c r="J13" s="13" t="str">
        <f aca="false">IF(D13&lt;&gt;"Yes","Not applicable",IF(G13=0,"Not assessed",IF(I13&gt;0,"Partially implemented","Largely in place - validate")))</f>
        <v>Partially implemented</v>
      </c>
      <c r="K13" s="13" t="str">
        <f aca="false">IF(D13&lt;&gt;"Yes","-",IF(G13=0,"Baseline - confirm",IF(H13&gt;=12,"High",IF(I13&gt;0,"Medium","Low"))))</f>
        <v>High</v>
      </c>
      <c r="L13" s="13" t="s">
        <v>76</v>
      </c>
      <c r="M13" s="13" t="s">
        <v>77</v>
      </c>
      <c r="N13" s="14"/>
    </row>
    <row r="14" customFormat="false" ht="23.85" hidden="false" customHeight="false" outlineLevel="0" collapsed="false">
      <c r="A14" s="13" t="s">
        <v>78</v>
      </c>
      <c r="B14" s="13" t="s">
        <v>20</v>
      </c>
      <c r="C14" s="13" t="s">
        <v>79</v>
      </c>
      <c r="D14" s="14" t="s">
        <v>48</v>
      </c>
      <c r="E14" s="14" t="s">
        <v>80</v>
      </c>
      <c r="F14" s="13" t="s">
        <v>81</v>
      </c>
      <c r="G14" s="13" t="n">
        <f aca="false">COUNTIF('Risk-Control Links'!$D$2:$D$130,A14)</f>
        <v>1</v>
      </c>
      <c r="H14" s="13" t="n">
        <f aca="false">_xlfn.MAXIFS('Risk-Control Links'!$E$2:$E$130,'Risk-Control Links'!$D$2:$D$130,A14)</f>
        <v>6</v>
      </c>
      <c r="I14" s="13" t="n">
        <f aca="false">COUNTIFS('Risk-Control Links'!$D$2:$D$130,A14,'Risk-Control Links'!$F$2:$F$130,"Weak")</f>
        <v>0</v>
      </c>
      <c r="J14" s="13" t="str">
        <f aca="false">IF(D14&lt;&gt;"Yes","Not applicable",IF(G14=0,"Not assessed",IF(I14&gt;0,"Partially implemented","Largely in place - validate")))</f>
        <v>Largely in place - validate</v>
      </c>
      <c r="K14" s="13" t="str">
        <f aca="false">IF(D14&lt;&gt;"Yes","-",IF(G14=0,"Baseline - confirm",IF(H14&gt;=12,"High",IF(I14&gt;0,"Medium","Low"))))</f>
        <v>Low</v>
      </c>
      <c r="L14" s="13" t="s">
        <v>76</v>
      </c>
      <c r="M14" s="13" t="s">
        <v>82</v>
      </c>
      <c r="N14" s="14"/>
    </row>
    <row r="15" customFormat="false" ht="23.85" hidden="false" customHeight="false" outlineLevel="0" collapsed="false">
      <c r="A15" s="13" t="s">
        <v>83</v>
      </c>
      <c r="B15" s="13" t="s">
        <v>20</v>
      </c>
      <c r="C15" s="13" t="s">
        <v>84</v>
      </c>
      <c r="D15" s="14" t="s">
        <v>48</v>
      </c>
      <c r="E15" s="14" t="s">
        <v>49</v>
      </c>
      <c r="F15" s="13"/>
      <c r="G15" s="13" t="n">
        <f aca="false">COUNTIF('Risk-Control Links'!$D$2:$D$130,A15)</f>
        <v>0</v>
      </c>
      <c r="H15" s="13" t="n">
        <f aca="false">_xlfn.MAXIFS('Risk-Control Links'!$E$2:$E$130,'Risk-Control Links'!$D$2:$D$130,A15)</f>
        <v>0</v>
      </c>
      <c r="I15" s="13" t="n">
        <f aca="false">COUNTIFS('Risk-Control Links'!$D$2:$D$130,A15,'Risk-Control Links'!$F$2:$F$130,"Weak")</f>
        <v>0</v>
      </c>
      <c r="J15" s="13" t="str">
        <f aca="false">IF(D15&lt;&gt;"Yes","Not applicable",IF(G15=0,"Not assessed",IF(I15&gt;0,"Partially implemented","Largely in place - validate")))</f>
        <v>Not assessed</v>
      </c>
      <c r="K15" s="13" t="str">
        <f aca="false">IF(D15&lt;&gt;"Yes","-",IF(G15=0,"Baseline - confirm",IF(H15&gt;=12,"High",IF(I15&gt;0,"Medium","Low"))))</f>
        <v>Baseline - confirm</v>
      </c>
      <c r="L15" s="13"/>
      <c r="M15" s="13"/>
      <c r="N15" s="14"/>
    </row>
    <row r="16" customFormat="false" ht="23.85" hidden="false" customHeight="false" outlineLevel="0" collapsed="false">
      <c r="A16" s="13" t="s">
        <v>85</v>
      </c>
      <c r="B16" s="13" t="s">
        <v>20</v>
      </c>
      <c r="C16" s="13" t="s">
        <v>86</v>
      </c>
      <c r="D16" s="14" t="s">
        <v>48</v>
      </c>
      <c r="E16" s="14" t="s">
        <v>87</v>
      </c>
      <c r="F16" s="13" t="s">
        <v>88</v>
      </c>
      <c r="G16" s="13" t="n">
        <f aca="false">COUNTIF('Risk-Control Links'!$D$2:$D$130,A16)</f>
        <v>1</v>
      </c>
      <c r="H16" s="13" t="n">
        <f aca="false">_xlfn.MAXIFS('Risk-Control Links'!$E$2:$E$130,'Risk-Control Links'!$D$2:$D$130,A16)</f>
        <v>9</v>
      </c>
      <c r="I16" s="13" t="n">
        <f aca="false">COUNTIFS('Risk-Control Links'!$D$2:$D$130,A16,'Risk-Control Links'!$F$2:$F$130,"Weak")</f>
        <v>1</v>
      </c>
      <c r="J16" s="13" t="str">
        <f aca="false">IF(D16&lt;&gt;"Yes","Not applicable",IF(G16=0,"Not assessed",IF(I16&gt;0,"Partially implemented","Largely in place - validate")))</f>
        <v>Partially implemented</v>
      </c>
      <c r="K16" s="13" t="str">
        <f aca="false">IF(D16&lt;&gt;"Yes","-",IF(G16=0,"Baseline - confirm",IF(H16&gt;=12,"High",IF(I16&gt;0,"Medium","Low"))))</f>
        <v>Medium</v>
      </c>
      <c r="L16" s="13" t="s">
        <v>89</v>
      </c>
      <c r="M16" s="13" t="s">
        <v>90</v>
      </c>
      <c r="N16" s="14"/>
    </row>
    <row r="17" customFormat="false" ht="23.85" hidden="false" customHeight="false" outlineLevel="0" collapsed="false">
      <c r="A17" s="13" t="s">
        <v>91</v>
      </c>
      <c r="B17" s="13" t="s">
        <v>20</v>
      </c>
      <c r="C17" s="13" t="s">
        <v>92</v>
      </c>
      <c r="D17" s="14" t="s">
        <v>48</v>
      </c>
      <c r="E17" s="14" t="s">
        <v>87</v>
      </c>
      <c r="F17" s="13" t="s">
        <v>88</v>
      </c>
      <c r="G17" s="13" t="n">
        <f aca="false">COUNTIF('Risk-Control Links'!$D$2:$D$130,A17)</f>
        <v>1</v>
      </c>
      <c r="H17" s="13" t="n">
        <f aca="false">_xlfn.MAXIFS('Risk-Control Links'!$E$2:$E$130,'Risk-Control Links'!$D$2:$D$130,A17)</f>
        <v>9</v>
      </c>
      <c r="I17" s="13" t="n">
        <f aca="false">COUNTIFS('Risk-Control Links'!$D$2:$D$130,A17,'Risk-Control Links'!$F$2:$F$130,"Weak")</f>
        <v>1</v>
      </c>
      <c r="J17" s="13" t="str">
        <f aca="false">IF(D17&lt;&gt;"Yes","Not applicable",IF(G17=0,"Not assessed",IF(I17&gt;0,"Partially implemented","Largely in place - validate")))</f>
        <v>Partially implemented</v>
      </c>
      <c r="K17" s="13" t="str">
        <f aca="false">IF(D17&lt;&gt;"Yes","-",IF(G17=0,"Baseline - confirm",IF(H17&gt;=12,"High",IF(I17&gt;0,"Medium","Low"))))</f>
        <v>Medium</v>
      </c>
      <c r="L17" s="13" t="s">
        <v>89</v>
      </c>
      <c r="M17" s="13" t="s">
        <v>90</v>
      </c>
      <c r="N17" s="14"/>
    </row>
    <row r="18" customFormat="false" ht="23.85" hidden="false" customHeight="false" outlineLevel="0" collapsed="false">
      <c r="A18" s="13" t="s">
        <v>93</v>
      </c>
      <c r="B18" s="13" t="s">
        <v>20</v>
      </c>
      <c r="C18" s="13" t="s">
        <v>94</v>
      </c>
      <c r="D18" s="14" t="s">
        <v>48</v>
      </c>
      <c r="E18" s="14" t="s">
        <v>95</v>
      </c>
      <c r="F18" s="13" t="s">
        <v>96</v>
      </c>
      <c r="G18" s="13" t="n">
        <f aca="false">COUNTIF('Risk-Control Links'!$D$2:$D$130,A18)</f>
        <v>2</v>
      </c>
      <c r="H18" s="13" t="n">
        <f aca="false">_xlfn.MAXIFS('Risk-Control Links'!$E$2:$E$130,'Risk-Control Links'!$D$2:$D$130,A18)</f>
        <v>9</v>
      </c>
      <c r="I18" s="13" t="n">
        <f aca="false">COUNTIFS('Risk-Control Links'!$D$2:$D$130,A18,'Risk-Control Links'!$F$2:$F$130,"Weak")</f>
        <v>0</v>
      </c>
      <c r="J18" s="13" t="str">
        <f aca="false">IF(D18&lt;&gt;"Yes","Not applicable",IF(G18=0,"Not assessed",IF(I18&gt;0,"Partially implemented","Largely in place - validate")))</f>
        <v>Largely in place - validate</v>
      </c>
      <c r="K18" s="13" t="str">
        <f aca="false">IF(D18&lt;&gt;"Yes","-",IF(G18=0,"Baseline - confirm",IF(H18&gt;=12,"High",IF(I18&gt;0,"Medium","Low"))))</f>
        <v>Low</v>
      </c>
      <c r="L18" s="13" t="s">
        <v>89</v>
      </c>
      <c r="M18" s="13" t="s">
        <v>97</v>
      </c>
      <c r="N18" s="14"/>
    </row>
    <row r="19" customFormat="false" ht="23.85" hidden="false" customHeight="false" outlineLevel="0" collapsed="false">
      <c r="A19" s="13" t="s">
        <v>98</v>
      </c>
      <c r="B19" s="13" t="s">
        <v>20</v>
      </c>
      <c r="C19" s="13" t="s">
        <v>99</v>
      </c>
      <c r="D19" s="14" t="s">
        <v>48</v>
      </c>
      <c r="E19" s="14" t="s">
        <v>100</v>
      </c>
      <c r="F19" s="13" t="s">
        <v>101</v>
      </c>
      <c r="G19" s="13" t="n">
        <f aca="false">COUNTIF('Risk-Control Links'!$D$2:$D$130,A19)</f>
        <v>2</v>
      </c>
      <c r="H19" s="13" t="n">
        <f aca="false">_xlfn.MAXIFS('Risk-Control Links'!$E$2:$E$130,'Risk-Control Links'!$D$2:$D$130,A19)</f>
        <v>9</v>
      </c>
      <c r="I19" s="13" t="n">
        <f aca="false">COUNTIFS('Risk-Control Links'!$D$2:$D$130,A19,'Risk-Control Links'!$F$2:$F$130,"Weak")</f>
        <v>0</v>
      </c>
      <c r="J19" s="13" t="str">
        <f aca="false">IF(D19&lt;&gt;"Yes","Not applicable",IF(G19=0,"Not assessed",IF(I19&gt;0,"Partially implemented","Largely in place - validate")))</f>
        <v>Largely in place - validate</v>
      </c>
      <c r="K19" s="13" t="str">
        <f aca="false">IF(D19&lt;&gt;"Yes","-",IF(G19=0,"Baseline - confirm",IF(H19&gt;=12,"High",IF(I19&gt;0,"Medium","Low"))))</f>
        <v>Low</v>
      </c>
      <c r="L19" s="13" t="s">
        <v>56</v>
      </c>
      <c r="M19" s="13" t="s">
        <v>102</v>
      </c>
      <c r="N19" s="14"/>
    </row>
    <row r="20" customFormat="false" ht="23.85" hidden="false" customHeight="false" outlineLevel="0" collapsed="false">
      <c r="A20" s="13" t="s">
        <v>103</v>
      </c>
      <c r="B20" s="13" t="s">
        <v>20</v>
      </c>
      <c r="C20" s="13" t="s">
        <v>104</v>
      </c>
      <c r="D20" s="14" t="s">
        <v>48</v>
      </c>
      <c r="E20" s="14" t="s">
        <v>105</v>
      </c>
      <c r="F20" s="13" t="s">
        <v>106</v>
      </c>
      <c r="G20" s="13" t="n">
        <f aca="false">COUNTIF('Risk-Control Links'!$D$2:$D$130,A20)</f>
        <v>2</v>
      </c>
      <c r="H20" s="13" t="n">
        <f aca="false">_xlfn.MAXIFS('Risk-Control Links'!$E$2:$E$130,'Risk-Control Links'!$D$2:$D$130,A20)</f>
        <v>6</v>
      </c>
      <c r="I20" s="13" t="n">
        <f aca="false">COUNTIFS('Risk-Control Links'!$D$2:$D$130,A20,'Risk-Control Links'!$F$2:$F$130,"Weak")</f>
        <v>2</v>
      </c>
      <c r="J20" s="13" t="str">
        <f aca="false">IF(D20&lt;&gt;"Yes","Not applicable",IF(G20=0,"Not assessed",IF(I20&gt;0,"Partially implemented","Largely in place - validate")))</f>
        <v>Partially implemented</v>
      </c>
      <c r="K20" s="13" t="str">
        <f aca="false">IF(D20&lt;&gt;"Yes","-",IF(G20=0,"Baseline - confirm",IF(H20&gt;=12,"High",IF(I20&gt;0,"Medium","Low"))))</f>
        <v>Medium</v>
      </c>
      <c r="L20" s="13" t="s">
        <v>76</v>
      </c>
      <c r="M20" s="13" t="s">
        <v>107</v>
      </c>
      <c r="N20" s="14"/>
    </row>
    <row r="21" customFormat="false" ht="23.85" hidden="false" customHeight="false" outlineLevel="0" collapsed="false">
      <c r="A21" s="13" t="s">
        <v>108</v>
      </c>
      <c r="B21" s="13" t="s">
        <v>20</v>
      </c>
      <c r="C21" s="13" t="s">
        <v>109</v>
      </c>
      <c r="D21" s="14" t="s">
        <v>48</v>
      </c>
      <c r="E21" s="14" t="s">
        <v>110</v>
      </c>
      <c r="F21" s="13" t="s">
        <v>111</v>
      </c>
      <c r="G21" s="13" t="n">
        <f aca="false">COUNTIF('Risk-Control Links'!$D$2:$D$130,A21)</f>
        <v>3</v>
      </c>
      <c r="H21" s="13" t="n">
        <f aca="false">_xlfn.MAXIFS('Risk-Control Links'!$E$2:$E$130,'Risk-Control Links'!$D$2:$D$130,A21)</f>
        <v>9</v>
      </c>
      <c r="I21" s="13" t="n">
        <f aca="false">COUNTIFS('Risk-Control Links'!$D$2:$D$130,A21,'Risk-Control Links'!$F$2:$F$130,"Weak")</f>
        <v>3</v>
      </c>
      <c r="J21" s="13" t="str">
        <f aca="false">IF(D21&lt;&gt;"Yes","Not applicable",IF(G21=0,"Not assessed",IF(I21&gt;0,"Partially implemented","Largely in place - validate")))</f>
        <v>Partially implemented</v>
      </c>
      <c r="K21" s="13" t="str">
        <f aca="false">IF(D21&lt;&gt;"Yes","-",IF(G21=0,"Baseline - confirm",IF(H21&gt;=12,"High",IF(I21&gt;0,"Medium","Low"))))</f>
        <v>Medium</v>
      </c>
      <c r="L21" s="13" t="s">
        <v>68</v>
      </c>
      <c r="M21" s="13" t="s">
        <v>112</v>
      </c>
      <c r="N21" s="14"/>
    </row>
    <row r="22" customFormat="false" ht="23.85" hidden="false" customHeight="false" outlineLevel="0" collapsed="false">
      <c r="A22" s="13" t="s">
        <v>113</v>
      </c>
      <c r="B22" s="13" t="s">
        <v>20</v>
      </c>
      <c r="C22" s="13" t="s">
        <v>114</v>
      </c>
      <c r="D22" s="14" t="s">
        <v>48</v>
      </c>
      <c r="E22" s="14" t="s">
        <v>115</v>
      </c>
      <c r="F22" s="13" t="s">
        <v>116</v>
      </c>
      <c r="G22" s="13" t="n">
        <f aca="false">COUNTIF('Risk-Control Links'!$D$2:$D$130,A22)</f>
        <v>4</v>
      </c>
      <c r="H22" s="13" t="n">
        <f aca="false">_xlfn.MAXIFS('Risk-Control Links'!$E$2:$E$130,'Risk-Control Links'!$D$2:$D$130,A22)</f>
        <v>8</v>
      </c>
      <c r="I22" s="13" t="n">
        <f aca="false">COUNTIFS('Risk-Control Links'!$D$2:$D$130,A22,'Risk-Control Links'!$F$2:$F$130,"Weak")</f>
        <v>2</v>
      </c>
      <c r="J22" s="13" t="str">
        <f aca="false">IF(D22&lt;&gt;"Yes","Not applicable",IF(G22=0,"Not assessed",IF(I22&gt;0,"Partially implemented","Largely in place - validate")))</f>
        <v>Partially implemented</v>
      </c>
      <c r="K22" s="13" t="str">
        <f aca="false">IF(D22&lt;&gt;"Yes","-",IF(G22=0,"Baseline - confirm",IF(H22&gt;=12,"High",IF(I22&gt;0,"Medium","Low"))))</f>
        <v>Medium</v>
      </c>
      <c r="L22" s="13" t="s">
        <v>68</v>
      </c>
      <c r="M22" s="13" t="s">
        <v>117</v>
      </c>
      <c r="N22" s="14"/>
    </row>
    <row r="23" customFormat="false" ht="23.85" hidden="false" customHeight="false" outlineLevel="0" collapsed="false">
      <c r="A23" s="13" t="s">
        <v>118</v>
      </c>
      <c r="B23" s="13" t="s">
        <v>20</v>
      </c>
      <c r="C23" s="13" t="s">
        <v>119</v>
      </c>
      <c r="D23" s="14" t="s">
        <v>48</v>
      </c>
      <c r="E23" s="14" t="s">
        <v>120</v>
      </c>
      <c r="F23" s="13" t="s">
        <v>121</v>
      </c>
      <c r="G23" s="13" t="n">
        <f aca="false">COUNTIF('Risk-Control Links'!$D$2:$D$130,A23)</f>
        <v>2</v>
      </c>
      <c r="H23" s="13" t="n">
        <f aca="false">_xlfn.MAXIFS('Risk-Control Links'!$E$2:$E$130,'Risk-Control Links'!$D$2:$D$130,A23)</f>
        <v>9</v>
      </c>
      <c r="I23" s="13" t="n">
        <f aca="false">COUNTIFS('Risk-Control Links'!$D$2:$D$130,A23,'Risk-Control Links'!$F$2:$F$130,"Weak")</f>
        <v>1</v>
      </c>
      <c r="J23" s="13" t="str">
        <f aca="false">IF(D23&lt;&gt;"Yes","Not applicable",IF(G23=0,"Not assessed",IF(I23&gt;0,"Partially implemented","Largely in place - validate")))</f>
        <v>Partially implemented</v>
      </c>
      <c r="K23" s="13" t="str">
        <f aca="false">IF(D23&lt;&gt;"Yes","-",IF(G23=0,"Baseline - confirm",IF(H23&gt;=12,"High",IF(I23&gt;0,"Medium","Low"))))</f>
        <v>Medium</v>
      </c>
      <c r="L23" s="13" t="s">
        <v>122</v>
      </c>
      <c r="M23" s="13" t="s">
        <v>123</v>
      </c>
      <c r="N23" s="14"/>
    </row>
    <row r="24" customFormat="false" ht="23.85" hidden="false" customHeight="false" outlineLevel="0" collapsed="false">
      <c r="A24" s="13" t="s">
        <v>124</v>
      </c>
      <c r="B24" s="13" t="s">
        <v>20</v>
      </c>
      <c r="C24" s="13" t="s">
        <v>125</v>
      </c>
      <c r="D24" s="14" t="s">
        <v>48</v>
      </c>
      <c r="E24" s="14" t="s">
        <v>126</v>
      </c>
      <c r="F24" s="13" t="s">
        <v>127</v>
      </c>
      <c r="G24" s="13" t="n">
        <f aca="false">COUNTIF('Risk-Control Links'!$D$2:$D$130,A24)</f>
        <v>2</v>
      </c>
      <c r="H24" s="13" t="n">
        <f aca="false">_xlfn.MAXIFS('Risk-Control Links'!$E$2:$E$130,'Risk-Control Links'!$D$2:$D$130,A24)</f>
        <v>9</v>
      </c>
      <c r="I24" s="13" t="n">
        <f aca="false">COUNTIFS('Risk-Control Links'!$D$2:$D$130,A24,'Risk-Control Links'!$F$2:$F$130,"Weak")</f>
        <v>1</v>
      </c>
      <c r="J24" s="13" t="str">
        <f aca="false">IF(D24&lt;&gt;"Yes","Not applicable",IF(G24=0,"Not assessed",IF(I24&gt;0,"Partially implemented","Largely in place - validate")))</f>
        <v>Partially implemented</v>
      </c>
      <c r="K24" s="13" t="str">
        <f aca="false">IF(D24&lt;&gt;"Yes","-",IF(G24=0,"Baseline - confirm",IF(H24&gt;=12,"High",IF(I24&gt;0,"Medium","Low"))))</f>
        <v>Medium</v>
      </c>
      <c r="L24" s="13" t="s">
        <v>122</v>
      </c>
      <c r="M24" s="13" t="s">
        <v>123</v>
      </c>
      <c r="N24" s="14"/>
    </row>
    <row r="25" customFormat="false" ht="23.85" hidden="false" customHeight="false" outlineLevel="0" collapsed="false">
      <c r="A25" s="13" t="s">
        <v>128</v>
      </c>
      <c r="B25" s="13" t="s">
        <v>20</v>
      </c>
      <c r="C25" s="13" t="s">
        <v>129</v>
      </c>
      <c r="D25" s="14" t="s">
        <v>48</v>
      </c>
      <c r="E25" s="14" t="s">
        <v>130</v>
      </c>
      <c r="F25" s="13" t="s">
        <v>131</v>
      </c>
      <c r="G25" s="13" t="n">
        <f aca="false">COUNTIF('Risk-Control Links'!$D$2:$D$130,A25)</f>
        <v>3</v>
      </c>
      <c r="H25" s="13" t="n">
        <f aca="false">_xlfn.MAXIFS('Risk-Control Links'!$E$2:$E$130,'Risk-Control Links'!$D$2:$D$130,A25)</f>
        <v>12</v>
      </c>
      <c r="I25" s="13" t="n">
        <f aca="false">COUNTIFS('Risk-Control Links'!$D$2:$D$130,A25,'Risk-Control Links'!$F$2:$F$130,"Weak")</f>
        <v>1</v>
      </c>
      <c r="J25" s="13" t="str">
        <f aca="false">IF(D25&lt;&gt;"Yes","Not applicable",IF(G25=0,"Not assessed",IF(I25&gt;0,"Partially implemented","Largely in place - validate")))</f>
        <v>Partially implemented</v>
      </c>
      <c r="K25" s="13" t="str">
        <f aca="false">IF(D25&lt;&gt;"Yes","-",IF(G25=0,"Baseline - confirm",IF(H25&gt;=12,"High",IF(I25&gt;0,"Medium","Low"))))</f>
        <v>High</v>
      </c>
      <c r="L25" s="13" t="s">
        <v>122</v>
      </c>
      <c r="M25" s="13" t="s">
        <v>132</v>
      </c>
      <c r="N25" s="14"/>
    </row>
    <row r="26" customFormat="false" ht="23.85" hidden="false" customHeight="false" outlineLevel="0" collapsed="false">
      <c r="A26" s="13" t="s">
        <v>133</v>
      </c>
      <c r="B26" s="13" t="s">
        <v>20</v>
      </c>
      <c r="C26" s="13" t="s">
        <v>134</v>
      </c>
      <c r="D26" s="14" t="s">
        <v>48</v>
      </c>
      <c r="E26" s="14" t="s">
        <v>135</v>
      </c>
      <c r="F26" s="13" t="s">
        <v>136</v>
      </c>
      <c r="G26" s="13" t="n">
        <f aca="false">COUNTIF('Risk-Control Links'!$D$2:$D$130,A26)</f>
        <v>4</v>
      </c>
      <c r="H26" s="13" t="n">
        <f aca="false">_xlfn.MAXIFS('Risk-Control Links'!$E$2:$E$130,'Risk-Control Links'!$D$2:$D$130,A26)</f>
        <v>12</v>
      </c>
      <c r="I26" s="13" t="n">
        <f aca="false">COUNTIFS('Risk-Control Links'!$D$2:$D$130,A26,'Risk-Control Links'!$F$2:$F$130,"Weak")</f>
        <v>1</v>
      </c>
      <c r="J26" s="13" t="str">
        <f aca="false">IF(D26&lt;&gt;"Yes","Not applicable",IF(G26=0,"Not assessed",IF(I26&gt;0,"Partially implemented","Largely in place - validate")))</f>
        <v>Partially implemented</v>
      </c>
      <c r="K26" s="13" t="str">
        <f aca="false">IF(D26&lt;&gt;"Yes","-",IF(G26=0,"Baseline - confirm",IF(H26&gt;=12,"High",IF(I26&gt;0,"Medium","Low"))))</f>
        <v>High</v>
      </c>
      <c r="L26" s="13" t="s">
        <v>122</v>
      </c>
      <c r="M26" s="13" t="s">
        <v>132</v>
      </c>
      <c r="N26" s="14"/>
    </row>
    <row r="27" customFormat="false" ht="15" hidden="false" customHeight="false" outlineLevel="0" collapsed="false">
      <c r="A27" s="13" t="s">
        <v>137</v>
      </c>
      <c r="B27" s="13" t="s">
        <v>20</v>
      </c>
      <c r="C27" s="13" t="s">
        <v>138</v>
      </c>
      <c r="D27" s="14" t="s">
        <v>48</v>
      </c>
      <c r="E27" s="14" t="s">
        <v>139</v>
      </c>
      <c r="F27" s="13" t="s">
        <v>140</v>
      </c>
      <c r="G27" s="13" t="n">
        <f aca="false">COUNTIF('Risk-Control Links'!$D$2:$D$130,A27)</f>
        <v>2</v>
      </c>
      <c r="H27" s="13" t="n">
        <f aca="false">_xlfn.MAXIFS('Risk-Control Links'!$E$2:$E$130,'Risk-Control Links'!$D$2:$D$130,A27)</f>
        <v>8</v>
      </c>
      <c r="I27" s="13" t="n">
        <f aca="false">COUNTIFS('Risk-Control Links'!$D$2:$D$130,A27,'Risk-Control Links'!$F$2:$F$130,"Weak")</f>
        <v>0</v>
      </c>
      <c r="J27" s="13" t="str">
        <f aca="false">IF(D27&lt;&gt;"Yes","Not applicable",IF(G27=0,"Not assessed",IF(I27&gt;0,"Partially implemented","Largely in place - validate")))</f>
        <v>Largely in place - validate</v>
      </c>
      <c r="K27" s="13" t="str">
        <f aca="false">IF(D27&lt;&gt;"Yes","-",IF(G27=0,"Baseline - confirm",IF(H27&gt;=12,"High",IF(I27&gt;0,"Medium","Low"))))</f>
        <v>Low</v>
      </c>
      <c r="L27" s="13" t="s">
        <v>141</v>
      </c>
      <c r="M27" s="13" t="s">
        <v>142</v>
      </c>
      <c r="N27" s="14"/>
    </row>
    <row r="28" customFormat="false" ht="23.85" hidden="false" customHeight="false" outlineLevel="0" collapsed="false">
      <c r="A28" s="13" t="s">
        <v>143</v>
      </c>
      <c r="B28" s="13" t="s">
        <v>20</v>
      </c>
      <c r="C28" s="13" t="s">
        <v>144</v>
      </c>
      <c r="D28" s="14" t="s">
        <v>48</v>
      </c>
      <c r="E28" s="14" t="s">
        <v>145</v>
      </c>
      <c r="F28" s="13" t="s">
        <v>146</v>
      </c>
      <c r="G28" s="13" t="n">
        <f aca="false">COUNTIF('Risk-Control Links'!$D$2:$D$130,A28)</f>
        <v>3</v>
      </c>
      <c r="H28" s="13" t="n">
        <f aca="false">_xlfn.MAXIFS('Risk-Control Links'!$E$2:$E$130,'Risk-Control Links'!$D$2:$D$130,A28)</f>
        <v>15</v>
      </c>
      <c r="I28" s="13" t="n">
        <f aca="false">COUNTIFS('Risk-Control Links'!$D$2:$D$130,A28,'Risk-Control Links'!$F$2:$F$130,"Weak")</f>
        <v>1</v>
      </c>
      <c r="J28" s="13" t="str">
        <f aca="false">IF(D28&lt;&gt;"Yes","Not applicable",IF(G28=0,"Not assessed",IF(I28&gt;0,"Partially implemented","Largely in place - validate")))</f>
        <v>Partially implemented</v>
      </c>
      <c r="K28" s="13" t="str">
        <f aca="false">IF(D28&lt;&gt;"Yes","-",IF(G28=0,"Baseline - confirm",IF(H28&gt;=12,"High",IF(I28&gt;0,"Medium","Low"))))</f>
        <v>High</v>
      </c>
      <c r="L28" s="13" t="s">
        <v>68</v>
      </c>
      <c r="M28" s="13" t="s">
        <v>147</v>
      </c>
      <c r="N28" s="14"/>
    </row>
    <row r="29" customFormat="false" ht="23.85" hidden="false" customHeight="false" outlineLevel="0" collapsed="false">
      <c r="A29" s="13" t="s">
        <v>148</v>
      </c>
      <c r="B29" s="13" t="s">
        <v>20</v>
      </c>
      <c r="C29" s="13" t="s">
        <v>149</v>
      </c>
      <c r="D29" s="14" t="s">
        <v>48</v>
      </c>
      <c r="E29" s="14" t="s">
        <v>150</v>
      </c>
      <c r="F29" s="13" t="s">
        <v>151</v>
      </c>
      <c r="G29" s="13" t="n">
        <f aca="false">COUNTIF('Risk-Control Links'!$D$2:$D$130,A29)</f>
        <v>1</v>
      </c>
      <c r="H29" s="13" t="n">
        <f aca="false">_xlfn.MAXIFS('Risk-Control Links'!$E$2:$E$130,'Risk-Control Links'!$D$2:$D$130,A29)</f>
        <v>6</v>
      </c>
      <c r="I29" s="13" t="n">
        <f aca="false">COUNTIFS('Risk-Control Links'!$D$2:$D$130,A29,'Risk-Control Links'!$F$2:$F$130,"Weak")</f>
        <v>0</v>
      </c>
      <c r="J29" s="13" t="str">
        <f aca="false">IF(D29&lt;&gt;"Yes","Not applicable",IF(G29=0,"Not assessed",IF(I29&gt;0,"Partially implemented","Largely in place - validate")))</f>
        <v>Largely in place - validate</v>
      </c>
      <c r="K29" s="13" t="str">
        <f aca="false">IF(D29&lt;&gt;"Yes","-",IF(G29=0,"Baseline - confirm",IF(H29&gt;=12,"High",IF(I29&gt;0,"Medium","Low"))))</f>
        <v>Low</v>
      </c>
      <c r="L29" s="13" t="s">
        <v>68</v>
      </c>
      <c r="M29" s="13" t="s">
        <v>152</v>
      </c>
      <c r="N29" s="14"/>
    </row>
    <row r="30" customFormat="false" ht="23.85" hidden="false" customHeight="false" outlineLevel="0" collapsed="false">
      <c r="A30" s="13" t="s">
        <v>153</v>
      </c>
      <c r="B30" s="13" t="s">
        <v>20</v>
      </c>
      <c r="C30" s="13" t="s">
        <v>154</v>
      </c>
      <c r="D30" s="14" t="s">
        <v>48</v>
      </c>
      <c r="E30" s="14" t="s">
        <v>150</v>
      </c>
      <c r="F30" s="13" t="s">
        <v>151</v>
      </c>
      <c r="G30" s="13" t="n">
        <f aca="false">COUNTIF('Risk-Control Links'!$D$2:$D$130,A30)</f>
        <v>1</v>
      </c>
      <c r="H30" s="13" t="n">
        <f aca="false">_xlfn.MAXIFS('Risk-Control Links'!$E$2:$E$130,'Risk-Control Links'!$D$2:$D$130,A30)</f>
        <v>6</v>
      </c>
      <c r="I30" s="13" t="n">
        <f aca="false">COUNTIFS('Risk-Control Links'!$D$2:$D$130,A30,'Risk-Control Links'!$F$2:$F$130,"Weak")</f>
        <v>0</v>
      </c>
      <c r="J30" s="13" t="str">
        <f aca="false">IF(D30&lt;&gt;"Yes","Not applicable",IF(G30=0,"Not assessed",IF(I30&gt;0,"Partially implemented","Largely in place - validate")))</f>
        <v>Largely in place - validate</v>
      </c>
      <c r="K30" s="13" t="str">
        <f aca="false">IF(D30&lt;&gt;"Yes","-",IF(G30=0,"Baseline - confirm",IF(H30&gt;=12,"High",IF(I30&gt;0,"Medium","Low"))))</f>
        <v>Low</v>
      </c>
      <c r="L30" s="13" t="s">
        <v>68</v>
      </c>
      <c r="M30" s="13" t="s">
        <v>152</v>
      </c>
      <c r="N30" s="14"/>
    </row>
    <row r="31" customFormat="false" ht="23.85" hidden="false" customHeight="false" outlineLevel="0" collapsed="false">
      <c r="A31" s="13" t="s">
        <v>155</v>
      </c>
      <c r="B31" s="13" t="s">
        <v>20</v>
      </c>
      <c r="C31" s="13" t="s">
        <v>156</v>
      </c>
      <c r="D31" s="14" t="s">
        <v>48</v>
      </c>
      <c r="E31" s="14" t="s">
        <v>49</v>
      </c>
      <c r="F31" s="13"/>
      <c r="G31" s="13" t="n">
        <f aca="false">COUNTIF('Risk-Control Links'!$D$2:$D$130,A31)</f>
        <v>0</v>
      </c>
      <c r="H31" s="13" t="n">
        <f aca="false">_xlfn.MAXIFS('Risk-Control Links'!$E$2:$E$130,'Risk-Control Links'!$D$2:$D$130,A31)</f>
        <v>0</v>
      </c>
      <c r="I31" s="13" t="n">
        <f aca="false">COUNTIFS('Risk-Control Links'!$D$2:$D$130,A31,'Risk-Control Links'!$F$2:$F$130,"Weak")</f>
        <v>0</v>
      </c>
      <c r="J31" s="13" t="str">
        <f aca="false">IF(D31&lt;&gt;"Yes","Not applicable",IF(G31=0,"Not assessed",IF(I31&gt;0,"Partially implemented","Largely in place - validate")))</f>
        <v>Not assessed</v>
      </c>
      <c r="K31" s="13" t="str">
        <f aca="false">IF(D31&lt;&gt;"Yes","-",IF(G31=0,"Baseline - confirm",IF(H31&gt;=12,"High",IF(I31&gt;0,"Medium","Low"))))</f>
        <v>Baseline - confirm</v>
      </c>
      <c r="L31" s="13"/>
      <c r="M31" s="13"/>
      <c r="N31" s="14"/>
    </row>
    <row r="32" customFormat="false" ht="23.85" hidden="false" customHeight="false" outlineLevel="0" collapsed="false">
      <c r="A32" s="13" t="s">
        <v>157</v>
      </c>
      <c r="B32" s="13" t="s">
        <v>20</v>
      </c>
      <c r="C32" s="13" t="s">
        <v>158</v>
      </c>
      <c r="D32" s="14" t="s">
        <v>48</v>
      </c>
      <c r="E32" s="14" t="s">
        <v>49</v>
      </c>
      <c r="F32" s="13"/>
      <c r="G32" s="13" t="n">
        <f aca="false">COUNTIF('Risk-Control Links'!$D$2:$D$130,A32)</f>
        <v>0</v>
      </c>
      <c r="H32" s="13" t="n">
        <f aca="false">_xlfn.MAXIFS('Risk-Control Links'!$E$2:$E$130,'Risk-Control Links'!$D$2:$D$130,A32)</f>
        <v>0</v>
      </c>
      <c r="I32" s="13" t="n">
        <f aca="false">COUNTIFS('Risk-Control Links'!$D$2:$D$130,A32,'Risk-Control Links'!$F$2:$F$130,"Weak")</f>
        <v>0</v>
      </c>
      <c r="J32" s="13" t="str">
        <f aca="false">IF(D32&lt;&gt;"Yes","Not applicable",IF(G32=0,"Not assessed",IF(I32&gt;0,"Partially implemented","Largely in place - validate")))</f>
        <v>Not assessed</v>
      </c>
      <c r="K32" s="13" t="str">
        <f aca="false">IF(D32&lt;&gt;"Yes","-",IF(G32=0,"Baseline - confirm",IF(H32&gt;=12,"High",IF(I32&gt;0,"Medium","Low"))))</f>
        <v>Baseline - confirm</v>
      </c>
      <c r="L32" s="13"/>
      <c r="M32" s="13"/>
      <c r="N32" s="14"/>
    </row>
    <row r="33" customFormat="false" ht="23.85" hidden="false" customHeight="false" outlineLevel="0" collapsed="false">
      <c r="A33" s="13" t="s">
        <v>159</v>
      </c>
      <c r="B33" s="13" t="s">
        <v>20</v>
      </c>
      <c r="C33" s="13" t="s">
        <v>160</v>
      </c>
      <c r="D33" s="14" t="s">
        <v>48</v>
      </c>
      <c r="E33" s="14" t="s">
        <v>161</v>
      </c>
      <c r="F33" s="13" t="s">
        <v>162</v>
      </c>
      <c r="G33" s="13" t="n">
        <f aca="false">COUNTIF('Risk-Control Links'!$D$2:$D$130,A33)</f>
        <v>1</v>
      </c>
      <c r="H33" s="13" t="n">
        <f aca="false">_xlfn.MAXIFS('Risk-Control Links'!$E$2:$E$130,'Risk-Control Links'!$D$2:$D$130,A33)</f>
        <v>6</v>
      </c>
      <c r="I33" s="13" t="n">
        <f aca="false">COUNTIFS('Risk-Control Links'!$D$2:$D$130,A33,'Risk-Control Links'!$F$2:$F$130,"Weak")</f>
        <v>0</v>
      </c>
      <c r="J33" s="13" t="str">
        <f aca="false">IF(D33&lt;&gt;"Yes","Not applicable",IF(G33=0,"Not assessed",IF(I33&gt;0,"Partially implemented","Largely in place - validate")))</f>
        <v>Largely in place - validate</v>
      </c>
      <c r="K33" s="13" t="str">
        <f aca="false">IF(D33&lt;&gt;"Yes","-",IF(G33=0,"Baseline - confirm",IF(H33&gt;=12,"High",IF(I33&gt;0,"Medium","Low"))))</f>
        <v>Low</v>
      </c>
      <c r="L33" s="13" t="s">
        <v>76</v>
      </c>
      <c r="M33" s="13" t="s">
        <v>163</v>
      </c>
      <c r="N33" s="14"/>
    </row>
    <row r="34" customFormat="false" ht="23.85" hidden="false" customHeight="false" outlineLevel="0" collapsed="false">
      <c r="A34" s="13" t="s">
        <v>164</v>
      </c>
      <c r="B34" s="13" t="s">
        <v>20</v>
      </c>
      <c r="C34" s="13" t="s">
        <v>165</v>
      </c>
      <c r="D34" s="14" t="s">
        <v>48</v>
      </c>
      <c r="E34" s="14" t="s">
        <v>161</v>
      </c>
      <c r="F34" s="13" t="s">
        <v>162</v>
      </c>
      <c r="G34" s="13" t="n">
        <f aca="false">COUNTIF('Risk-Control Links'!$D$2:$D$130,A34)</f>
        <v>1</v>
      </c>
      <c r="H34" s="13" t="n">
        <f aca="false">_xlfn.MAXIFS('Risk-Control Links'!$E$2:$E$130,'Risk-Control Links'!$D$2:$D$130,A34)</f>
        <v>6</v>
      </c>
      <c r="I34" s="13" t="n">
        <f aca="false">COUNTIFS('Risk-Control Links'!$D$2:$D$130,A34,'Risk-Control Links'!$F$2:$F$130,"Weak")</f>
        <v>0</v>
      </c>
      <c r="J34" s="13" t="str">
        <f aca="false">IF(D34&lt;&gt;"Yes","Not applicable",IF(G34=0,"Not assessed",IF(I34&gt;0,"Partially implemented","Largely in place - validate")))</f>
        <v>Largely in place - validate</v>
      </c>
      <c r="K34" s="13" t="str">
        <f aca="false">IF(D34&lt;&gt;"Yes","-",IF(G34=0,"Baseline - confirm",IF(H34&gt;=12,"High",IF(I34&gt;0,"Medium","Low"))))</f>
        <v>Low</v>
      </c>
      <c r="L34" s="13" t="s">
        <v>76</v>
      </c>
      <c r="M34" s="13" t="s">
        <v>163</v>
      </c>
      <c r="N34" s="14"/>
    </row>
    <row r="35" customFormat="false" ht="23.85" hidden="false" customHeight="false" outlineLevel="0" collapsed="false">
      <c r="A35" s="13" t="s">
        <v>166</v>
      </c>
      <c r="B35" s="13" t="s">
        <v>20</v>
      </c>
      <c r="C35" s="13" t="s">
        <v>167</v>
      </c>
      <c r="D35" s="14" t="s">
        <v>48</v>
      </c>
      <c r="E35" s="14" t="s">
        <v>168</v>
      </c>
      <c r="F35" s="13" t="s">
        <v>169</v>
      </c>
      <c r="G35" s="13" t="n">
        <f aca="false">COUNTIF('Risk-Control Links'!$D$2:$D$130,A35)</f>
        <v>2</v>
      </c>
      <c r="H35" s="13" t="n">
        <f aca="false">_xlfn.MAXIFS('Risk-Control Links'!$E$2:$E$130,'Risk-Control Links'!$D$2:$D$130,A35)</f>
        <v>6</v>
      </c>
      <c r="I35" s="13" t="n">
        <f aca="false">COUNTIFS('Risk-Control Links'!$D$2:$D$130,A35,'Risk-Control Links'!$F$2:$F$130,"Weak")</f>
        <v>0</v>
      </c>
      <c r="J35" s="13" t="str">
        <f aca="false">IF(D35&lt;&gt;"Yes","Not applicable",IF(G35=0,"Not assessed",IF(I35&gt;0,"Partially implemented","Largely in place - validate")))</f>
        <v>Largely in place - validate</v>
      </c>
      <c r="K35" s="13" t="str">
        <f aca="false">IF(D35&lt;&gt;"Yes","-",IF(G35=0,"Baseline - confirm",IF(H35&gt;=12,"High",IF(I35&gt;0,"Medium","Low"))))</f>
        <v>Low</v>
      </c>
      <c r="L35" s="13" t="s">
        <v>170</v>
      </c>
      <c r="M35" s="13" t="s">
        <v>171</v>
      </c>
      <c r="N35" s="14"/>
    </row>
    <row r="36" customFormat="false" ht="23.85" hidden="false" customHeight="false" outlineLevel="0" collapsed="false">
      <c r="A36" s="13" t="s">
        <v>172</v>
      </c>
      <c r="B36" s="13" t="s">
        <v>20</v>
      </c>
      <c r="C36" s="13" t="s">
        <v>173</v>
      </c>
      <c r="D36" s="14" t="s">
        <v>48</v>
      </c>
      <c r="E36" s="14" t="s">
        <v>49</v>
      </c>
      <c r="F36" s="13"/>
      <c r="G36" s="13" t="n">
        <f aca="false">COUNTIF('Risk-Control Links'!$D$2:$D$130,A36)</f>
        <v>0</v>
      </c>
      <c r="H36" s="13" t="n">
        <f aca="false">_xlfn.MAXIFS('Risk-Control Links'!$E$2:$E$130,'Risk-Control Links'!$D$2:$D$130,A36)</f>
        <v>0</v>
      </c>
      <c r="I36" s="13" t="n">
        <f aca="false">COUNTIFS('Risk-Control Links'!$D$2:$D$130,A36,'Risk-Control Links'!$F$2:$F$130,"Weak")</f>
        <v>0</v>
      </c>
      <c r="J36" s="13" t="str">
        <f aca="false">IF(D36&lt;&gt;"Yes","Not applicable",IF(G36=0,"Not assessed",IF(I36&gt;0,"Partially implemented","Largely in place - validate")))</f>
        <v>Not assessed</v>
      </c>
      <c r="K36" s="13" t="str">
        <f aca="false">IF(D36&lt;&gt;"Yes","-",IF(G36=0,"Baseline - confirm",IF(H36&gt;=12,"High",IF(I36&gt;0,"Medium","Low"))))</f>
        <v>Baseline - confirm</v>
      </c>
      <c r="L36" s="13"/>
      <c r="M36" s="13"/>
      <c r="N36" s="14"/>
    </row>
    <row r="37" customFormat="false" ht="23.85" hidden="false" customHeight="false" outlineLevel="0" collapsed="false">
      <c r="A37" s="13" t="s">
        <v>174</v>
      </c>
      <c r="B37" s="13" t="s">
        <v>20</v>
      </c>
      <c r="C37" s="13" t="s">
        <v>175</v>
      </c>
      <c r="D37" s="14" t="s">
        <v>48</v>
      </c>
      <c r="E37" s="14" t="s">
        <v>49</v>
      </c>
      <c r="F37" s="13"/>
      <c r="G37" s="13" t="n">
        <f aca="false">COUNTIF('Risk-Control Links'!$D$2:$D$130,A37)</f>
        <v>0</v>
      </c>
      <c r="H37" s="13" t="n">
        <f aca="false">_xlfn.MAXIFS('Risk-Control Links'!$E$2:$E$130,'Risk-Control Links'!$D$2:$D$130,A37)</f>
        <v>0</v>
      </c>
      <c r="I37" s="13" t="n">
        <f aca="false">COUNTIFS('Risk-Control Links'!$D$2:$D$130,A37,'Risk-Control Links'!$F$2:$F$130,"Weak")</f>
        <v>0</v>
      </c>
      <c r="J37" s="13" t="str">
        <f aca="false">IF(D37&lt;&gt;"Yes","Not applicable",IF(G37=0,"Not assessed",IF(I37&gt;0,"Partially implemented","Largely in place - validate")))</f>
        <v>Not assessed</v>
      </c>
      <c r="K37" s="13" t="str">
        <f aca="false">IF(D37&lt;&gt;"Yes","-",IF(G37=0,"Baseline - confirm",IF(H37&gt;=12,"High",IF(I37&gt;0,"Medium","Low"))))</f>
        <v>Baseline - confirm</v>
      </c>
      <c r="L37" s="13"/>
      <c r="M37" s="13"/>
      <c r="N37" s="14"/>
    </row>
    <row r="38" customFormat="false" ht="23.85" hidden="false" customHeight="false" outlineLevel="0" collapsed="false">
      <c r="A38" s="13" t="s">
        <v>176</v>
      </c>
      <c r="B38" s="13" t="s">
        <v>20</v>
      </c>
      <c r="C38" s="13" t="s">
        <v>177</v>
      </c>
      <c r="D38" s="14" t="s">
        <v>48</v>
      </c>
      <c r="E38" s="14" t="s">
        <v>178</v>
      </c>
      <c r="F38" s="13" t="s">
        <v>179</v>
      </c>
      <c r="G38" s="13" t="n">
        <f aca="false">COUNTIF('Risk-Control Links'!$D$2:$D$130,A38)</f>
        <v>3</v>
      </c>
      <c r="H38" s="13" t="n">
        <f aca="false">_xlfn.MAXIFS('Risk-Control Links'!$E$2:$E$130,'Risk-Control Links'!$D$2:$D$130,A38)</f>
        <v>8</v>
      </c>
      <c r="I38" s="13" t="n">
        <f aca="false">COUNTIFS('Risk-Control Links'!$D$2:$D$130,A38,'Risk-Control Links'!$F$2:$F$130,"Weak")</f>
        <v>0</v>
      </c>
      <c r="J38" s="13" t="str">
        <f aca="false">IF(D38&lt;&gt;"Yes","Not applicable",IF(G38=0,"Not assessed",IF(I38&gt;0,"Partially implemented","Largely in place - validate")))</f>
        <v>Largely in place - validate</v>
      </c>
      <c r="K38" s="13" t="str">
        <f aca="false">IF(D38&lt;&gt;"Yes","-",IF(G38=0,"Baseline - confirm",IF(H38&gt;=12,"High",IF(I38&gt;0,"Medium","Low"))))</f>
        <v>Low</v>
      </c>
      <c r="L38" s="13" t="s">
        <v>170</v>
      </c>
      <c r="M38" s="13" t="s">
        <v>180</v>
      </c>
      <c r="N38" s="14"/>
    </row>
    <row r="39" customFormat="false" ht="23.85" hidden="false" customHeight="false" outlineLevel="0" collapsed="false">
      <c r="A39" s="13" t="s">
        <v>181</v>
      </c>
      <c r="B39" s="13" t="s">
        <v>20</v>
      </c>
      <c r="C39" s="13" t="s">
        <v>182</v>
      </c>
      <c r="D39" s="14" t="s">
        <v>48</v>
      </c>
      <c r="E39" s="14" t="s">
        <v>49</v>
      </c>
      <c r="F39" s="13"/>
      <c r="G39" s="13" t="n">
        <f aca="false">COUNTIF('Risk-Control Links'!$D$2:$D$130,A39)</f>
        <v>0</v>
      </c>
      <c r="H39" s="13" t="n">
        <f aca="false">_xlfn.MAXIFS('Risk-Control Links'!$E$2:$E$130,'Risk-Control Links'!$D$2:$D$130,A39)</f>
        <v>0</v>
      </c>
      <c r="I39" s="13" t="n">
        <f aca="false">COUNTIFS('Risk-Control Links'!$D$2:$D$130,A39,'Risk-Control Links'!$F$2:$F$130,"Weak")</f>
        <v>0</v>
      </c>
      <c r="J39" s="13" t="str">
        <f aca="false">IF(D39&lt;&gt;"Yes","Not applicable",IF(G39=0,"Not assessed",IF(I39&gt;0,"Partially implemented","Largely in place - validate")))</f>
        <v>Not assessed</v>
      </c>
      <c r="K39" s="13" t="str">
        <f aca="false">IF(D39&lt;&gt;"Yes","-",IF(G39=0,"Baseline - confirm",IF(H39&gt;=12,"High",IF(I39&gt;0,"Medium","Low"))))</f>
        <v>Baseline - confirm</v>
      </c>
      <c r="L39" s="13"/>
      <c r="M39" s="13"/>
      <c r="N39" s="14"/>
    </row>
    <row r="40" customFormat="false" ht="23.85" hidden="false" customHeight="false" outlineLevel="0" collapsed="false">
      <c r="A40" s="13" t="s">
        <v>183</v>
      </c>
      <c r="B40" s="13" t="s">
        <v>20</v>
      </c>
      <c r="C40" s="13" t="s">
        <v>184</v>
      </c>
      <c r="D40" s="14" t="s">
        <v>48</v>
      </c>
      <c r="E40" s="14" t="s">
        <v>49</v>
      </c>
      <c r="F40" s="13"/>
      <c r="G40" s="13" t="n">
        <f aca="false">COUNTIF('Risk-Control Links'!$D$2:$D$130,A40)</f>
        <v>0</v>
      </c>
      <c r="H40" s="13" t="n">
        <f aca="false">_xlfn.MAXIFS('Risk-Control Links'!$E$2:$E$130,'Risk-Control Links'!$D$2:$D$130,A40)</f>
        <v>0</v>
      </c>
      <c r="I40" s="13" t="n">
        <f aca="false">COUNTIFS('Risk-Control Links'!$D$2:$D$130,A40,'Risk-Control Links'!$F$2:$F$130,"Weak")</f>
        <v>0</v>
      </c>
      <c r="J40" s="13" t="str">
        <f aca="false">IF(D40&lt;&gt;"Yes","Not applicable",IF(G40=0,"Not assessed",IF(I40&gt;0,"Partially implemented","Largely in place - validate")))</f>
        <v>Not assessed</v>
      </c>
      <c r="K40" s="13" t="str">
        <f aca="false">IF(D40&lt;&gt;"Yes","-",IF(G40=0,"Baseline - confirm",IF(H40&gt;=12,"High",IF(I40&gt;0,"Medium","Low"))))</f>
        <v>Baseline - confirm</v>
      </c>
      <c r="L40" s="13"/>
      <c r="M40" s="13"/>
      <c r="N40" s="14"/>
    </row>
    <row r="41" customFormat="false" ht="23.85" hidden="false" customHeight="false" outlineLevel="0" collapsed="false">
      <c r="A41" s="13" t="s">
        <v>185</v>
      </c>
      <c r="B41" s="13" t="s">
        <v>20</v>
      </c>
      <c r="C41" s="13" t="s">
        <v>186</v>
      </c>
      <c r="D41" s="14" t="s">
        <v>48</v>
      </c>
      <c r="E41" s="14" t="s">
        <v>49</v>
      </c>
      <c r="F41" s="13"/>
      <c r="G41" s="13" t="n">
        <f aca="false">COUNTIF('Risk-Control Links'!$D$2:$D$130,A41)</f>
        <v>0</v>
      </c>
      <c r="H41" s="13" t="n">
        <f aca="false">_xlfn.MAXIFS('Risk-Control Links'!$E$2:$E$130,'Risk-Control Links'!$D$2:$D$130,A41)</f>
        <v>0</v>
      </c>
      <c r="I41" s="13" t="n">
        <f aca="false">COUNTIFS('Risk-Control Links'!$D$2:$D$130,A41,'Risk-Control Links'!$F$2:$F$130,"Weak")</f>
        <v>0</v>
      </c>
      <c r="J41" s="13" t="str">
        <f aca="false">IF(D41&lt;&gt;"Yes","Not applicable",IF(G41=0,"Not assessed",IF(I41&gt;0,"Partially implemented","Largely in place - validate")))</f>
        <v>Not assessed</v>
      </c>
      <c r="K41" s="13" t="str">
        <f aca="false">IF(D41&lt;&gt;"Yes","-",IF(G41=0,"Baseline - confirm",IF(H41&gt;=12,"High",IF(I41&gt;0,"Medium","Low"))))</f>
        <v>Baseline - confirm</v>
      </c>
      <c r="L41" s="13"/>
      <c r="M41" s="13"/>
      <c r="N41" s="14"/>
    </row>
    <row r="42" customFormat="false" ht="15" hidden="false" customHeight="false" outlineLevel="0" collapsed="false">
      <c r="A42" s="13" t="s">
        <v>187</v>
      </c>
      <c r="B42" s="13" t="s">
        <v>21</v>
      </c>
      <c r="C42" s="13" t="s">
        <v>188</v>
      </c>
      <c r="D42" s="14" t="s">
        <v>48</v>
      </c>
      <c r="E42" s="14" t="s">
        <v>189</v>
      </c>
      <c r="F42" s="13" t="s">
        <v>190</v>
      </c>
      <c r="G42" s="13" t="n">
        <f aca="false">COUNTIF('Risk-Control Links'!$D$2:$D$130,A42)</f>
        <v>2</v>
      </c>
      <c r="H42" s="13" t="n">
        <f aca="false">_xlfn.MAXIFS('Risk-Control Links'!$E$2:$E$130,'Risk-Control Links'!$D$2:$D$130,A42)</f>
        <v>6</v>
      </c>
      <c r="I42" s="13" t="n">
        <f aca="false">COUNTIFS('Risk-Control Links'!$D$2:$D$130,A42,'Risk-Control Links'!$F$2:$F$130,"Weak")</f>
        <v>0</v>
      </c>
      <c r="J42" s="13" t="str">
        <f aca="false">IF(D42&lt;&gt;"Yes","Not applicable",IF(G42=0,"Not assessed",IF(I42&gt;0,"Partially implemented","Largely in place - validate")))</f>
        <v>Largely in place - validate</v>
      </c>
      <c r="K42" s="13" t="str">
        <f aca="false">IF(D42&lt;&gt;"Yes","-",IF(G42=0,"Baseline - confirm",IF(H42&gt;=12,"High",IF(I42&gt;0,"Medium","Low"))))</f>
        <v>Low</v>
      </c>
      <c r="L42" s="13" t="s">
        <v>68</v>
      </c>
      <c r="M42" s="13" t="s">
        <v>191</v>
      </c>
      <c r="N42" s="14"/>
    </row>
    <row r="43" customFormat="false" ht="23.85" hidden="false" customHeight="false" outlineLevel="0" collapsed="false">
      <c r="A43" s="13" t="s">
        <v>192</v>
      </c>
      <c r="B43" s="13" t="s">
        <v>21</v>
      </c>
      <c r="C43" s="13" t="s">
        <v>193</v>
      </c>
      <c r="D43" s="14" t="s">
        <v>48</v>
      </c>
      <c r="E43" s="14" t="s">
        <v>49</v>
      </c>
      <c r="F43" s="13"/>
      <c r="G43" s="13" t="n">
        <f aca="false">COUNTIF('Risk-Control Links'!$D$2:$D$130,A43)</f>
        <v>0</v>
      </c>
      <c r="H43" s="13" t="n">
        <f aca="false">_xlfn.MAXIFS('Risk-Control Links'!$E$2:$E$130,'Risk-Control Links'!$D$2:$D$130,A43)</f>
        <v>0</v>
      </c>
      <c r="I43" s="13" t="n">
        <f aca="false">COUNTIFS('Risk-Control Links'!$D$2:$D$130,A43,'Risk-Control Links'!$F$2:$F$130,"Weak")</f>
        <v>0</v>
      </c>
      <c r="J43" s="13" t="str">
        <f aca="false">IF(D43&lt;&gt;"Yes","Not applicable",IF(G43=0,"Not assessed",IF(I43&gt;0,"Partially implemented","Largely in place - validate")))</f>
        <v>Not assessed</v>
      </c>
      <c r="K43" s="13" t="str">
        <f aca="false">IF(D43&lt;&gt;"Yes","-",IF(G43=0,"Baseline - confirm",IF(H43&gt;=12,"High",IF(I43&gt;0,"Medium","Low"))))</f>
        <v>Baseline - confirm</v>
      </c>
      <c r="L43" s="13"/>
      <c r="M43" s="13"/>
      <c r="N43" s="14"/>
    </row>
    <row r="44" customFormat="false" ht="23.85" hidden="false" customHeight="false" outlineLevel="0" collapsed="false">
      <c r="A44" s="13" t="s">
        <v>194</v>
      </c>
      <c r="B44" s="13" t="s">
        <v>21</v>
      </c>
      <c r="C44" s="13" t="s">
        <v>195</v>
      </c>
      <c r="D44" s="14" t="s">
        <v>48</v>
      </c>
      <c r="E44" s="14" t="s">
        <v>196</v>
      </c>
      <c r="F44" s="13" t="s">
        <v>197</v>
      </c>
      <c r="G44" s="13" t="n">
        <f aca="false">COUNTIF('Risk-Control Links'!$D$2:$D$130,A44)</f>
        <v>4</v>
      </c>
      <c r="H44" s="13" t="n">
        <f aca="false">_xlfn.MAXIFS('Risk-Control Links'!$E$2:$E$130,'Risk-Control Links'!$D$2:$D$130,A44)</f>
        <v>9</v>
      </c>
      <c r="I44" s="13" t="n">
        <f aca="false">COUNTIFS('Risk-Control Links'!$D$2:$D$130,A44,'Risk-Control Links'!$F$2:$F$130,"Weak")</f>
        <v>0</v>
      </c>
      <c r="J44" s="13" t="str">
        <f aca="false">IF(D44&lt;&gt;"Yes","Not applicable",IF(G44=0,"Not assessed",IF(I44&gt;0,"Partially implemented","Largely in place - validate")))</f>
        <v>Largely in place - validate</v>
      </c>
      <c r="K44" s="13" t="str">
        <f aca="false">IF(D44&lt;&gt;"Yes","-",IF(G44=0,"Baseline - confirm",IF(H44&gt;=12,"High",IF(I44&gt;0,"Medium","Low"))))</f>
        <v>Low</v>
      </c>
      <c r="L44" s="13" t="s">
        <v>56</v>
      </c>
      <c r="M44" s="13" t="s">
        <v>198</v>
      </c>
      <c r="N44" s="14"/>
    </row>
    <row r="45" customFormat="false" ht="23.85" hidden="false" customHeight="false" outlineLevel="0" collapsed="false">
      <c r="A45" s="13" t="s">
        <v>199</v>
      </c>
      <c r="B45" s="13" t="s">
        <v>21</v>
      </c>
      <c r="C45" s="13" t="s">
        <v>200</v>
      </c>
      <c r="D45" s="14" t="s">
        <v>48</v>
      </c>
      <c r="E45" s="14" t="s">
        <v>49</v>
      </c>
      <c r="F45" s="13"/>
      <c r="G45" s="13" t="n">
        <f aca="false">COUNTIF('Risk-Control Links'!$D$2:$D$130,A45)</f>
        <v>0</v>
      </c>
      <c r="H45" s="13" t="n">
        <f aca="false">_xlfn.MAXIFS('Risk-Control Links'!$E$2:$E$130,'Risk-Control Links'!$D$2:$D$130,A45)</f>
        <v>0</v>
      </c>
      <c r="I45" s="13" t="n">
        <f aca="false">COUNTIFS('Risk-Control Links'!$D$2:$D$130,A45,'Risk-Control Links'!$F$2:$F$130,"Weak")</f>
        <v>0</v>
      </c>
      <c r="J45" s="13" t="str">
        <f aca="false">IF(D45&lt;&gt;"Yes","Not applicable",IF(G45=0,"Not assessed",IF(I45&gt;0,"Partially implemented","Largely in place - validate")))</f>
        <v>Not assessed</v>
      </c>
      <c r="K45" s="13" t="str">
        <f aca="false">IF(D45&lt;&gt;"Yes","-",IF(G45=0,"Baseline - confirm",IF(H45&gt;=12,"High",IF(I45&gt;0,"Medium","Low"))))</f>
        <v>Baseline - confirm</v>
      </c>
      <c r="L45" s="13"/>
      <c r="M45" s="13"/>
      <c r="N45" s="14"/>
    </row>
    <row r="46" customFormat="false" ht="23.85" hidden="false" customHeight="false" outlineLevel="0" collapsed="false">
      <c r="A46" s="13" t="s">
        <v>201</v>
      </c>
      <c r="B46" s="13" t="s">
        <v>21</v>
      </c>
      <c r="C46" s="13" t="s">
        <v>202</v>
      </c>
      <c r="D46" s="14" t="s">
        <v>48</v>
      </c>
      <c r="E46" s="14" t="s">
        <v>203</v>
      </c>
      <c r="F46" s="13" t="s">
        <v>204</v>
      </c>
      <c r="G46" s="13" t="n">
        <f aca="false">COUNTIF('Risk-Control Links'!$D$2:$D$130,A46)</f>
        <v>2</v>
      </c>
      <c r="H46" s="13" t="n">
        <f aca="false">_xlfn.MAXIFS('Risk-Control Links'!$E$2:$E$130,'Risk-Control Links'!$D$2:$D$130,A46)</f>
        <v>6</v>
      </c>
      <c r="I46" s="13" t="n">
        <f aca="false">COUNTIFS('Risk-Control Links'!$D$2:$D$130,A46,'Risk-Control Links'!$F$2:$F$130,"Weak")</f>
        <v>1</v>
      </c>
      <c r="J46" s="13" t="str">
        <f aca="false">IF(D46&lt;&gt;"Yes","Not applicable",IF(G46=0,"Not assessed",IF(I46&gt;0,"Partially implemented","Largely in place - validate")))</f>
        <v>Partially implemented</v>
      </c>
      <c r="K46" s="13" t="str">
        <f aca="false">IF(D46&lt;&gt;"Yes","-",IF(G46=0,"Baseline - confirm",IF(H46&gt;=12,"High",IF(I46&gt;0,"Medium","Low"))))</f>
        <v>Medium</v>
      </c>
      <c r="L46" s="13" t="s">
        <v>76</v>
      </c>
      <c r="M46" s="13" t="s">
        <v>107</v>
      </c>
      <c r="N46" s="14"/>
    </row>
    <row r="47" customFormat="false" ht="23.85" hidden="false" customHeight="false" outlineLevel="0" collapsed="false">
      <c r="A47" s="13" t="s">
        <v>205</v>
      </c>
      <c r="B47" s="13" t="s">
        <v>21</v>
      </c>
      <c r="C47" s="13" t="s">
        <v>206</v>
      </c>
      <c r="D47" s="14" t="s">
        <v>48</v>
      </c>
      <c r="E47" s="14" t="s">
        <v>207</v>
      </c>
      <c r="F47" s="13" t="s">
        <v>208</v>
      </c>
      <c r="G47" s="13" t="n">
        <f aca="false">COUNTIF('Risk-Control Links'!$D$2:$D$130,A47)</f>
        <v>1</v>
      </c>
      <c r="H47" s="13" t="n">
        <f aca="false">_xlfn.MAXIFS('Risk-Control Links'!$E$2:$E$130,'Risk-Control Links'!$D$2:$D$130,A47)</f>
        <v>6</v>
      </c>
      <c r="I47" s="13" t="n">
        <f aca="false">COUNTIFS('Risk-Control Links'!$D$2:$D$130,A47,'Risk-Control Links'!$F$2:$F$130,"Weak")</f>
        <v>0</v>
      </c>
      <c r="J47" s="13" t="str">
        <f aca="false">IF(D47&lt;&gt;"Yes","Not applicable",IF(G47=0,"Not assessed",IF(I47&gt;0,"Partially implemented","Largely in place - validate")))</f>
        <v>Largely in place - validate</v>
      </c>
      <c r="K47" s="13" t="str">
        <f aca="false">IF(D47&lt;&gt;"Yes","-",IF(G47=0,"Baseline - confirm",IF(H47&gt;=12,"High",IF(I47&gt;0,"Medium","Low"))))</f>
        <v>Low</v>
      </c>
      <c r="L47" s="13" t="s">
        <v>209</v>
      </c>
      <c r="M47" s="13" t="s">
        <v>210</v>
      </c>
      <c r="N47" s="14"/>
    </row>
    <row r="48" customFormat="false" ht="23.85" hidden="false" customHeight="false" outlineLevel="0" collapsed="false">
      <c r="A48" s="13" t="s">
        <v>211</v>
      </c>
      <c r="B48" s="13" t="s">
        <v>21</v>
      </c>
      <c r="C48" s="13" t="s">
        <v>212</v>
      </c>
      <c r="D48" s="14" t="s">
        <v>48</v>
      </c>
      <c r="E48" s="14" t="s">
        <v>213</v>
      </c>
      <c r="F48" s="13" t="s">
        <v>214</v>
      </c>
      <c r="G48" s="13" t="n">
        <f aca="false">COUNTIF('Risk-Control Links'!$D$2:$D$130,A48)</f>
        <v>2</v>
      </c>
      <c r="H48" s="13" t="n">
        <f aca="false">_xlfn.MAXIFS('Risk-Control Links'!$E$2:$E$130,'Risk-Control Links'!$D$2:$D$130,A48)</f>
        <v>9</v>
      </c>
      <c r="I48" s="13" t="n">
        <f aca="false">COUNTIFS('Risk-Control Links'!$D$2:$D$130,A48,'Risk-Control Links'!$F$2:$F$130,"Weak")</f>
        <v>0</v>
      </c>
      <c r="J48" s="13" t="str">
        <f aca="false">IF(D48&lt;&gt;"Yes","Not applicable",IF(G48=0,"Not assessed",IF(I48&gt;0,"Partially implemented","Largely in place - validate")))</f>
        <v>Largely in place - validate</v>
      </c>
      <c r="K48" s="13" t="str">
        <f aca="false">IF(D48&lt;&gt;"Yes","-",IF(G48=0,"Baseline - confirm",IF(H48&gt;=12,"High",IF(I48&gt;0,"Medium","Low"))))</f>
        <v>Low</v>
      </c>
      <c r="L48" s="13" t="s">
        <v>68</v>
      </c>
      <c r="M48" s="13" t="s">
        <v>198</v>
      </c>
      <c r="N48" s="14"/>
    </row>
    <row r="49" customFormat="false" ht="23.85" hidden="false" customHeight="false" outlineLevel="0" collapsed="false">
      <c r="A49" s="13" t="s">
        <v>215</v>
      </c>
      <c r="B49" s="13" t="s">
        <v>21</v>
      </c>
      <c r="C49" s="13" t="s">
        <v>216</v>
      </c>
      <c r="D49" s="14" t="s">
        <v>48</v>
      </c>
      <c r="E49" s="14" t="s">
        <v>49</v>
      </c>
      <c r="F49" s="13"/>
      <c r="G49" s="13" t="n">
        <f aca="false">COUNTIF('Risk-Control Links'!$D$2:$D$130,A49)</f>
        <v>0</v>
      </c>
      <c r="H49" s="13" t="n">
        <f aca="false">_xlfn.MAXIFS('Risk-Control Links'!$E$2:$E$130,'Risk-Control Links'!$D$2:$D$130,A49)</f>
        <v>0</v>
      </c>
      <c r="I49" s="13" t="n">
        <f aca="false">COUNTIFS('Risk-Control Links'!$D$2:$D$130,A49,'Risk-Control Links'!$F$2:$F$130,"Weak")</f>
        <v>0</v>
      </c>
      <c r="J49" s="13" t="str">
        <f aca="false">IF(D49&lt;&gt;"Yes","Not applicable",IF(G49=0,"Not assessed",IF(I49&gt;0,"Partially implemented","Largely in place - validate")))</f>
        <v>Not assessed</v>
      </c>
      <c r="K49" s="13" t="str">
        <f aca="false">IF(D49&lt;&gt;"Yes","-",IF(G49=0,"Baseline - confirm",IF(H49&gt;=12,"High",IF(I49&gt;0,"Medium","Low"))))</f>
        <v>Baseline - confirm</v>
      </c>
      <c r="L49" s="13"/>
      <c r="M49" s="13"/>
      <c r="N49" s="14"/>
    </row>
    <row r="50" customFormat="false" ht="23.85" hidden="false" customHeight="false" outlineLevel="0" collapsed="false">
      <c r="A50" s="13" t="s">
        <v>217</v>
      </c>
      <c r="B50" s="13" t="s">
        <v>22</v>
      </c>
      <c r="C50" s="13" t="s">
        <v>218</v>
      </c>
      <c r="D50" s="14" t="s">
        <v>48</v>
      </c>
      <c r="E50" s="14" t="s">
        <v>49</v>
      </c>
      <c r="F50" s="13"/>
      <c r="G50" s="13" t="n">
        <f aca="false">COUNTIF('Risk-Control Links'!$D$2:$D$130,A50)</f>
        <v>0</v>
      </c>
      <c r="H50" s="13" t="n">
        <f aca="false">_xlfn.MAXIFS('Risk-Control Links'!$E$2:$E$130,'Risk-Control Links'!$D$2:$D$130,A50)</f>
        <v>0</v>
      </c>
      <c r="I50" s="13" t="n">
        <f aca="false">COUNTIFS('Risk-Control Links'!$D$2:$D$130,A50,'Risk-Control Links'!$F$2:$F$130,"Weak")</f>
        <v>0</v>
      </c>
      <c r="J50" s="13" t="str">
        <f aca="false">IF(D50&lt;&gt;"Yes","Not applicable",IF(G50=0,"Not assessed",IF(I50&gt;0,"Partially implemented","Largely in place - validate")))</f>
        <v>Not assessed</v>
      </c>
      <c r="K50" s="13" t="str">
        <f aca="false">IF(D50&lt;&gt;"Yes","-",IF(G50=0,"Baseline - confirm",IF(H50&gt;=12,"High",IF(I50&gt;0,"Medium","Low"))))</f>
        <v>Baseline - confirm</v>
      </c>
      <c r="L50" s="13"/>
      <c r="M50" s="13"/>
      <c r="N50" s="14"/>
    </row>
    <row r="51" customFormat="false" ht="23.85" hidden="false" customHeight="false" outlineLevel="0" collapsed="false">
      <c r="A51" s="13" t="s">
        <v>219</v>
      </c>
      <c r="B51" s="13" t="s">
        <v>22</v>
      </c>
      <c r="C51" s="13" t="s">
        <v>220</v>
      </c>
      <c r="D51" s="14" t="s">
        <v>48</v>
      </c>
      <c r="E51" s="14" t="s">
        <v>49</v>
      </c>
      <c r="F51" s="13"/>
      <c r="G51" s="13" t="n">
        <f aca="false">COUNTIF('Risk-Control Links'!$D$2:$D$130,A51)</f>
        <v>0</v>
      </c>
      <c r="H51" s="13" t="n">
        <f aca="false">_xlfn.MAXIFS('Risk-Control Links'!$E$2:$E$130,'Risk-Control Links'!$D$2:$D$130,A51)</f>
        <v>0</v>
      </c>
      <c r="I51" s="13" t="n">
        <f aca="false">COUNTIFS('Risk-Control Links'!$D$2:$D$130,A51,'Risk-Control Links'!$F$2:$F$130,"Weak")</f>
        <v>0</v>
      </c>
      <c r="J51" s="13" t="str">
        <f aca="false">IF(D51&lt;&gt;"Yes","Not applicable",IF(G51=0,"Not assessed",IF(I51&gt;0,"Partially implemented","Largely in place - validate")))</f>
        <v>Not assessed</v>
      </c>
      <c r="K51" s="13" t="str">
        <f aca="false">IF(D51&lt;&gt;"Yes","-",IF(G51=0,"Baseline - confirm",IF(H51&gt;=12,"High",IF(I51&gt;0,"Medium","Low"))))</f>
        <v>Baseline - confirm</v>
      </c>
      <c r="L51" s="13"/>
      <c r="M51" s="13"/>
      <c r="N51" s="14"/>
    </row>
    <row r="52" customFormat="false" ht="23.85" hidden="false" customHeight="false" outlineLevel="0" collapsed="false">
      <c r="A52" s="13" t="s">
        <v>221</v>
      </c>
      <c r="B52" s="13" t="s">
        <v>22</v>
      </c>
      <c r="C52" s="13" t="s">
        <v>222</v>
      </c>
      <c r="D52" s="14" t="s">
        <v>48</v>
      </c>
      <c r="E52" s="14" t="s">
        <v>49</v>
      </c>
      <c r="F52" s="13"/>
      <c r="G52" s="13" t="n">
        <f aca="false">COUNTIF('Risk-Control Links'!$D$2:$D$130,A52)</f>
        <v>0</v>
      </c>
      <c r="H52" s="13" t="n">
        <f aca="false">_xlfn.MAXIFS('Risk-Control Links'!$E$2:$E$130,'Risk-Control Links'!$D$2:$D$130,A52)</f>
        <v>0</v>
      </c>
      <c r="I52" s="13" t="n">
        <f aca="false">COUNTIFS('Risk-Control Links'!$D$2:$D$130,A52,'Risk-Control Links'!$F$2:$F$130,"Weak")</f>
        <v>0</v>
      </c>
      <c r="J52" s="13" t="str">
        <f aca="false">IF(D52&lt;&gt;"Yes","Not applicable",IF(G52=0,"Not assessed",IF(I52&gt;0,"Partially implemented","Largely in place - validate")))</f>
        <v>Not assessed</v>
      </c>
      <c r="K52" s="13" t="str">
        <f aca="false">IF(D52&lt;&gt;"Yes","-",IF(G52=0,"Baseline - confirm",IF(H52&gt;=12,"High",IF(I52&gt;0,"Medium","Low"))))</f>
        <v>Baseline - confirm</v>
      </c>
      <c r="L52" s="13"/>
      <c r="M52" s="13"/>
      <c r="N52" s="14"/>
    </row>
    <row r="53" customFormat="false" ht="23.85" hidden="false" customHeight="false" outlineLevel="0" collapsed="false">
      <c r="A53" s="13" t="s">
        <v>223</v>
      </c>
      <c r="B53" s="13" t="s">
        <v>22</v>
      </c>
      <c r="C53" s="13" t="s">
        <v>224</v>
      </c>
      <c r="D53" s="14" t="s">
        <v>48</v>
      </c>
      <c r="E53" s="14" t="s">
        <v>49</v>
      </c>
      <c r="F53" s="13"/>
      <c r="G53" s="13" t="n">
        <f aca="false">COUNTIF('Risk-Control Links'!$D$2:$D$130,A53)</f>
        <v>0</v>
      </c>
      <c r="H53" s="13" t="n">
        <f aca="false">_xlfn.MAXIFS('Risk-Control Links'!$E$2:$E$130,'Risk-Control Links'!$D$2:$D$130,A53)</f>
        <v>0</v>
      </c>
      <c r="I53" s="13" t="n">
        <f aca="false">COUNTIFS('Risk-Control Links'!$D$2:$D$130,A53,'Risk-Control Links'!$F$2:$F$130,"Weak")</f>
        <v>0</v>
      </c>
      <c r="J53" s="13" t="str">
        <f aca="false">IF(D53&lt;&gt;"Yes","Not applicable",IF(G53=0,"Not assessed",IF(I53&gt;0,"Partially implemented","Largely in place - validate")))</f>
        <v>Not assessed</v>
      </c>
      <c r="K53" s="13" t="str">
        <f aca="false">IF(D53&lt;&gt;"Yes","-",IF(G53=0,"Baseline - confirm",IF(H53&gt;=12,"High",IF(I53&gt;0,"Medium","Low"))))</f>
        <v>Baseline - confirm</v>
      </c>
      <c r="L53" s="13"/>
      <c r="M53" s="13"/>
      <c r="N53" s="14"/>
    </row>
    <row r="54" customFormat="false" ht="23.85" hidden="false" customHeight="false" outlineLevel="0" collapsed="false">
      <c r="A54" s="13" t="s">
        <v>225</v>
      </c>
      <c r="B54" s="13" t="s">
        <v>22</v>
      </c>
      <c r="C54" s="13" t="s">
        <v>226</v>
      </c>
      <c r="D54" s="14" t="s">
        <v>48</v>
      </c>
      <c r="E54" s="14" t="s">
        <v>49</v>
      </c>
      <c r="F54" s="13"/>
      <c r="G54" s="13" t="n">
        <f aca="false">COUNTIF('Risk-Control Links'!$D$2:$D$130,A54)</f>
        <v>0</v>
      </c>
      <c r="H54" s="13" t="n">
        <f aca="false">_xlfn.MAXIFS('Risk-Control Links'!$E$2:$E$130,'Risk-Control Links'!$D$2:$D$130,A54)</f>
        <v>0</v>
      </c>
      <c r="I54" s="13" t="n">
        <f aca="false">COUNTIFS('Risk-Control Links'!$D$2:$D$130,A54,'Risk-Control Links'!$F$2:$F$130,"Weak")</f>
        <v>0</v>
      </c>
      <c r="J54" s="13" t="str">
        <f aca="false">IF(D54&lt;&gt;"Yes","Not applicable",IF(G54=0,"Not assessed",IF(I54&gt;0,"Partially implemented","Largely in place - validate")))</f>
        <v>Not assessed</v>
      </c>
      <c r="K54" s="13" t="str">
        <f aca="false">IF(D54&lt;&gt;"Yes","-",IF(G54=0,"Baseline - confirm",IF(H54&gt;=12,"High",IF(I54&gt;0,"Medium","Low"))))</f>
        <v>Baseline - confirm</v>
      </c>
      <c r="L54" s="13"/>
      <c r="M54" s="13"/>
      <c r="N54" s="14"/>
    </row>
    <row r="55" customFormat="false" ht="23.85" hidden="false" customHeight="false" outlineLevel="0" collapsed="false">
      <c r="A55" s="13" t="s">
        <v>227</v>
      </c>
      <c r="B55" s="13" t="s">
        <v>22</v>
      </c>
      <c r="C55" s="13" t="s">
        <v>228</v>
      </c>
      <c r="D55" s="14" t="s">
        <v>48</v>
      </c>
      <c r="E55" s="14" t="s">
        <v>49</v>
      </c>
      <c r="F55" s="13"/>
      <c r="G55" s="13" t="n">
        <f aca="false">COUNTIF('Risk-Control Links'!$D$2:$D$130,A55)</f>
        <v>0</v>
      </c>
      <c r="H55" s="13" t="n">
        <f aca="false">_xlfn.MAXIFS('Risk-Control Links'!$E$2:$E$130,'Risk-Control Links'!$D$2:$D$130,A55)</f>
        <v>0</v>
      </c>
      <c r="I55" s="13" t="n">
        <f aca="false">COUNTIFS('Risk-Control Links'!$D$2:$D$130,A55,'Risk-Control Links'!$F$2:$F$130,"Weak")</f>
        <v>0</v>
      </c>
      <c r="J55" s="13" t="str">
        <f aca="false">IF(D55&lt;&gt;"Yes","Not applicable",IF(G55=0,"Not assessed",IF(I55&gt;0,"Partially implemented","Largely in place - validate")))</f>
        <v>Not assessed</v>
      </c>
      <c r="K55" s="13" t="str">
        <f aca="false">IF(D55&lt;&gt;"Yes","-",IF(G55=0,"Baseline - confirm",IF(H55&gt;=12,"High",IF(I55&gt;0,"Medium","Low"))))</f>
        <v>Baseline - confirm</v>
      </c>
      <c r="L55" s="13"/>
      <c r="M55" s="13"/>
      <c r="N55" s="14"/>
    </row>
    <row r="56" customFormat="false" ht="23.85" hidden="false" customHeight="false" outlineLevel="0" collapsed="false">
      <c r="A56" s="13" t="s">
        <v>229</v>
      </c>
      <c r="B56" s="13" t="s">
        <v>22</v>
      </c>
      <c r="C56" s="13" t="s">
        <v>230</v>
      </c>
      <c r="D56" s="14" t="s">
        <v>48</v>
      </c>
      <c r="E56" s="14" t="s">
        <v>49</v>
      </c>
      <c r="F56" s="13"/>
      <c r="G56" s="13" t="n">
        <f aca="false">COUNTIF('Risk-Control Links'!$D$2:$D$130,A56)</f>
        <v>0</v>
      </c>
      <c r="H56" s="13" t="n">
        <f aca="false">_xlfn.MAXIFS('Risk-Control Links'!$E$2:$E$130,'Risk-Control Links'!$D$2:$D$130,A56)</f>
        <v>0</v>
      </c>
      <c r="I56" s="13" t="n">
        <f aca="false">COUNTIFS('Risk-Control Links'!$D$2:$D$130,A56,'Risk-Control Links'!$F$2:$F$130,"Weak")</f>
        <v>0</v>
      </c>
      <c r="J56" s="13" t="str">
        <f aca="false">IF(D56&lt;&gt;"Yes","Not applicable",IF(G56=0,"Not assessed",IF(I56&gt;0,"Partially implemented","Largely in place - validate")))</f>
        <v>Not assessed</v>
      </c>
      <c r="K56" s="13" t="str">
        <f aca="false">IF(D56&lt;&gt;"Yes","-",IF(G56=0,"Baseline - confirm",IF(H56&gt;=12,"High",IF(I56&gt;0,"Medium","Low"))))</f>
        <v>Baseline - confirm</v>
      </c>
      <c r="L56" s="13"/>
      <c r="M56" s="13"/>
      <c r="N56" s="14"/>
    </row>
    <row r="57" customFormat="false" ht="23.85" hidden="false" customHeight="false" outlineLevel="0" collapsed="false">
      <c r="A57" s="13" t="s">
        <v>231</v>
      </c>
      <c r="B57" s="13" t="s">
        <v>22</v>
      </c>
      <c r="C57" s="13" t="s">
        <v>232</v>
      </c>
      <c r="D57" s="14" t="s">
        <v>48</v>
      </c>
      <c r="E57" s="14" t="s">
        <v>49</v>
      </c>
      <c r="F57" s="13"/>
      <c r="G57" s="13" t="n">
        <f aca="false">COUNTIF('Risk-Control Links'!$D$2:$D$130,A57)</f>
        <v>0</v>
      </c>
      <c r="H57" s="13" t="n">
        <f aca="false">_xlfn.MAXIFS('Risk-Control Links'!$E$2:$E$130,'Risk-Control Links'!$D$2:$D$130,A57)</f>
        <v>0</v>
      </c>
      <c r="I57" s="13" t="n">
        <f aca="false">COUNTIFS('Risk-Control Links'!$D$2:$D$130,A57,'Risk-Control Links'!$F$2:$F$130,"Weak")</f>
        <v>0</v>
      </c>
      <c r="J57" s="13" t="str">
        <f aca="false">IF(D57&lt;&gt;"Yes","Not applicable",IF(G57=0,"Not assessed",IF(I57&gt;0,"Partially implemented","Largely in place - validate")))</f>
        <v>Not assessed</v>
      </c>
      <c r="K57" s="13" t="str">
        <f aca="false">IF(D57&lt;&gt;"Yes","-",IF(G57=0,"Baseline - confirm",IF(H57&gt;=12,"High",IF(I57&gt;0,"Medium","Low"))))</f>
        <v>Baseline - confirm</v>
      </c>
      <c r="L57" s="13"/>
      <c r="M57" s="13"/>
      <c r="N57" s="14"/>
    </row>
    <row r="58" customFormat="false" ht="23.85" hidden="false" customHeight="false" outlineLevel="0" collapsed="false">
      <c r="A58" s="13" t="s">
        <v>233</v>
      </c>
      <c r="B58" s="13" t="s">
        <v>22</v>
      </c>
      <c r="C58" s="13" t="s">
        <v>234</v>
      </c>
      <c r="D58" s="14" t="s">
        <v>48</v>
      </c>
      <c r="E58" s="14" t="s">
        <v>235</v>
      </c>
      <c r="F58" s="13" t="s">
        <v>236</v>
      </c>
      <c r="G58" s="13" t="n">
        <f aca="false">COUNTIF('Risk-Control Links'!$D$2:$D$130,A58)</f>
        <v>2</v>
      </c>
      <c r="H58" s="13" t="n">
        <f aca="false">_xlfn.MAXIFS('Risk-Control Links'!$E$2:$E$130,'Risk-Control Links'!$D$2:$D$130,A58)</f>
        <v>6</v>
      </c>
      <c r="I58" s="13" t="n">
        <f aca="false">COUNTIFS('Risk-Control Links'!$D$2:$D$130,A58,'Risk-Control Links'!$F$2:$F$130,"Weak")</f>
        <v>0</v>
      </c>
      <c r="J58" s="13" t="str">
        <f aca="false">IF(D58&lt;&gt;"Yes","Not applicable",IF(G58=0,"Not assessed",IF(I58&gt;0,"Partially implemented","Largely in place - validate")))</f>
        <v>Largely in place - validate</v>
      </c>
      <c r="K58" s="13" t="str">
        <f aca="false">IF(D58&lt;&gt;"Yes","-",IF(G58=0,"Baseline - confirm",IF(H58&gt;=12,"High",IF(I58&gt;0,"Medium","Low"))))</f>
        <v>Low</v>
      </c>
      <c r="L58" s="13" t="s">
        <v>76</v>
      </c>
      <c r="M58" s="13" t="s">
        <v>237</v>
      </c>
      <c r="N58" s="14"/>
    </row>
    <row r="59" customFormat="false" ht="23.85" hidden="false" customHeight="false" outlineLevel="0" collapsed="false">
      <c r="A59" s="13" t="s">
        <v>238</v>
      </c>
      <c r="B59" s="13" t="s">
        <v>22</v>
      </c>
      <c r="C59" s="13" t="s">
        <v>239</v>
      </c>
      <c r="D59" s="14" t="s">
        <v>48</v>
      </c>
      <c r="E59" s="14" t="s">
        <v>49</v>
      </c>
      <c r="F59" s="13"/>
      <c r="G59" s="13" t="n">
        <f aca="false">COUNTIF('Risk-Control Links'!$D$2:$D$130,A59)</f>
        <v>0</v>
      </c>
      <c r="H59" s="13" t="n">
        <f aca="false">_xlfn.MAXIFS('Risk-Control Links'!$E$2:$E$130,'Risk-Control Links'!$D$2:$D$130,A59)</f>
        <v>0</v>
      </c>
      <c r="I59" s="13" t="n">
        <f aca="false">COUNTIFS('Risk-Control Links'!$D$2:$D$130,A59,'Risk-Control Links'!$F$2:$F$130,"Weak")</f>
        <v>0</v>
      </c>
      <c r="J59" s="13" t="str">
        <f aca="false">IF(D59&lt;&gt;"Yes","Not applicable",IF(G59=0,"Not assessed",IF(I59&gt;0,"Partially implemented","Largely in place - validate")))</f>
        <v>Not assessed</v>
      </c>
      <c r="K59" s="13" t="str">
        <f aca="false">IF(D59&lt;&gt;"Yes","-",IF(G59=0,"Baseline - confirm",IF(H59&gt;=12,"High",IF(I59&gt;0,"Medium","Low"))))</f>
        <v>Baseline - confirm</v>
      </c>
      <c r="L59" s="13"/>
      <c r="M59" s="13"/>
      <c r="N59" s="14"/>
    </row>
    <row r="60" customFormat="false" ht="23.85" hidden="false" customHeight="false" outlineLevel="0" collapsed="false">
      <c r="A60" s="13" t="s">
        <v>240</v>
      </c>
      <c r="B60" s="13" t="s">
        <v>22</v>
      </c>
      <c r="C60" s="13" t="s">
        <v>241</v>
      </c>
      <c r="D60" s="14" t="s">
        <v>48</v>
      </c>
      <c r="E60" s="14" t="s">
        <v>49</v>
      </c>
      <c r="F60" s="13"/>
      <c r="G60" s="13" t="n">
        <f aca="false">COUNTIF('Risk-Control Links'!$D$2:$D$130,A60)</f>
        <v>0</v>
      </c>
      <c r="H60" s="13" t="n">
        <f aca="false">_xlfn.MAXIFS('Risk-Control Links'!$E$2:$E$130,'Risk-Control Links'!$D$2:$D$130,A60)</f>
        <v>0</v>
      </c>
      <c r="I60" s="13" t="n">
        <f aca="false">COUNTIFS('Risk-Control Links'!$D$2:$D$130,A60,'Risk-Control Links'!$F$2:$F$130,"Weak")</f>
        <v>0</v>
      </c>
      <c r="J60" s="13" t="str">
        <f aca="false">IF(D60&lt;&gt;"Yes","Not applicable",IF(G60=0,"Not assessed",IF(I60&gt;0,"Partially implemented","Largely in place - validate")))</f>
        <v>Not assessed</v>
      </c>
      <c r="K60" s="13" t="str">
        <f aca="false">IF(D60&lt;&gt;"Yes","-",IF(G60=0,"Baseline - confirm",IF(H60&gt;=12,"High",IF(I60&gt;0,"Medium","Low"))))</f>
        <v>Baseline - confirm</v>
      </c>
      <c r="L60" s="13"/>
      <c r="M60" s="13"/>
      <c r="N60" s="14"/>
    </row>
    <row r="61" customFormat="false" ht="23.85" hidden="false" customHeight="false" outlineLevel="0" collapsed="false">
      <c r="A61" s="13" t="s">
        <v>242</v>
      </c>
      <c r="B61" s="13" t="s">
        <v>22</v>
      </c>
      <c r="C61" s="13" t="s">
        <v>243</v>
      </c>
      <c r="D61" s="14" t="s">
        <v>48</v>
      </c>
      <c r="E61" s="14" t="s">
        <v>49</v>
      </c>
      <c r="F61" s="13"/>
      <c r="G61" s="13" t="n">
        <f aca="false">COUNTIF('Risk-Control Links'!$D$2:$D$130,A61)</f>
        <v>0</v>
      </c>
      <c r="H61" s="13" t="n">
        <f aca="false">_xlfn.MAXIFS('Risk-Control Links'!$E$2:$E$130,'Risk-Control Links'!$D$2:$D$130,A61)</f>
        <v>0</v>
      </c>
      <c r="I61" s="13" t="n">
        <f aca="false">COUNTIFS('Risk-Control Links'!$D$2:$D$130,A61,'Risk-Control Links'!$F$2:$F$130,"Weak")</f>
        <v>0</v>
      </c>
      <c r="J61" s="13" t="str">
        <f aca="false">IF(D61&lt;&gt;"Yes","Not applicable",IF(G61=0,"Not assessed",IF(I61&gt;0,"Partially implemented","Largely in place - validate")))</f>
        <v>Not assessed</v>
      </c>
      <c r="K61" s="13" t="str">
        <f aca="false">IF(D61&lt;&gt;"Yes","-",IF(G61=0,"Baseline - confirm",IF(H61&gt;=12,"High",IF(I61&gt;0,"Medium","Low"))))</f>
        <v>Baseline - confirm</v>
      </c>
      <c r="L61" s="13"/>
      <c r="M61" s="13"/>
      <c r="N61" s="14"/>
    </row>
    <row r="62" customFormat="false" ht="23.85" hidden="false" customHeight="false" outlineLevel="0" collapsed="false">
      <c r="A62" s="13" t="s">
        <v>244</v>
      </c>
      <c r="B62" s="13" t="s">
        <v>22</v>
      </c>
      <c r="C62" s="13" t="s">
        <v>245</v>
      </c>
      <c r="D62" s="14" t="s">
        <v>48</v>
      </c>
      <c r="E62" s="14" t="s">
        <v>49</v>
      </c>
      <c r="F62" s="13"/>
      <c r="G62" s="13" t="n">
        <f aca="false">COUNTIF('Risk-Control Links'!$D$2:$D$130,A62)</f>
        <v>0</v>
      </c>
      <c r="H62" s="13" t="n">
        <f aca="false">_xlfn.MAXIFS('Risk-Control Links'!$E$2:$E$130,'Risk-Control Links'!$D$2:$D$130,A62)</f>
        <v>0</v>
      </c>
      <c r="I62" s="13" t="n">
        <f aca="false">COUNTIFS('Risk-Control Links'!$D$2:$D$130,A62,'Risk-Control Links'!$F$2:$F$130,"Weak")</f>
        <v>0</v>
      </c>
      <c r="J62" s="13" t="str">
        <f aca="false">IF(D62&lt;&gt;"Yes","Not applicable",IF(G62=0,"Not assessed",IF(I62&gt;0,"Partially implemented","Largely in place - validate")))</f>
        <v>Not assessed</v>
      </c>
      <c r="K62" s="13" t="str">
        <f aca="false">IF(D62&lt;&gt;"Yes","-",IF(G62=0,"Baseline - confirm",IF(H62&gt;=12,"High",IF(I62&gt;0,"Medium","Low"))))</f>
        <v>Baseline - confirm</v>
      </c>
      <c r="L62" s="13"/>
      <c r="M62" s="13"/>
      <c r="N62" s="14"/>
    </row>
    <row r="63" customFormat="false" ht="23.85" hidden="false" customHeight="false" outlineLevel="0" collapsed="false">
      <c r="A63" s="13" t="s">
        <v>246</v>
      </c>
      <c r="B63" s="13" t="s">
        <v>22</v>
      </c>
      <c r="C63" s="13" t="s">
        <v>247</v>
      </c>
      <c r="D63" s="14" t="s">
        <v>48</v>
      </c>
      <c r="E63" s="14" t="s">
        <v>49</v>
      </c>
      <c r="F63" s="13"/>
      <c r="G63" s="13" t="n">
        <f aca="false">COUNTIF('Risk-Control Links'!$D$2:$D$130,A63)</f>
        <v>0</v>
      </c>
      <c r="H63" s="13" t="n">
        <f aca="false">_xlfn.MAXIFS('Risk-Control Links'!$E$2:$E$130,'Risk-Control Links'!$D$2:$D$130,A63)</f>
        <v>0</v>
      </c>
      <c r="I63" s="13" t="n">
        <f aca="false">COUNTIFS('Risk-Control Links'!$D$2:$D$130,A63,'Risk-Control Links'!$F$2:$F$130,"Weak")</f>
        <v>0</v>
      </c>
      <c r="J63" s="13" t="str">
        <f aca="false">IF(D63&lt;&gt;"Yes","Not applicable",IF(G63=0,"Not assessed",IF(I63&gt;0,"Partially implemented","Largely in place - validate")))</f>
        <v>Not assessed</v>
      </c>
      <c r="K63" s="13" t="str">
        <f aca="false">IF(D63&lt;&gt;"Yes","-",IF(G63=0,"Baseline - confirm",IF(H63&gt;=12,"High",IF(I63&gt;0,"Medium","Low"))))</f>
        <v>Baseline - confirm</v>
      </c>
      <c r="L63" s="13"/>
      <c r="M63" s="13"/>
      <c r="N63" s="14"/>
    </row>
    <row r="64" customFormat="false" ht="23.85" hidden="false" customHeight="false" outlineLevel="0" collapsed="false">
      <c r="A64" s="13" t="s">
        <v>248</v>
      </c>
      <c r="B64" s="13" t="s">
        <v>23</v>
      </c>
      <c r="C64" s="13" t="s">
        <v>249</v>
      </c>
      <c r="D64" s="14" t="s">
        <v>48</v>
      </c>
      <c r="E64" s="14" t="s">
        <v>250</v>
      </c>
      <c r="F64" s="13" t="s">
        <v>251</v>
      </c>
      <c r="G64" s="13" t="n">
        <f aca="false">COUNTIF('Risk-Control Links'!$D$2:$D$130,A64)</f>
        <v>4</v>
      </c>
      <c r="H64" s="13" t="n">
        <f aca="false">_xlfn.MAXIFS('Risk-Control Links'!$E$2:$E$130,'Risk-Control Links'!$D$2:$D$130,A64)</f>
        <v>8</v>
      </c>
      <c r="I64" s="13" t="n">
        <f aca="false">COUNTIFS('Risk-Control Links'!$D$2:$D$130,A64,'Risk-Control Links'!$F$2:$F$130,"Weak")</f>
        <v>0</v>
      </c>
      <c r="J64" s="13" t="str">
        <f aca="false">IF(D64&lt;&gt;"Yes","Not applicable",IF(G64=0,"Not assessed",IF(I64&gt;0,"Partially implemented","Largely in place - validate")))</f>
        <v>Largely in place - validate</v>
      </c>
      <c r="K64" s="13" t="str">
        <f aca="false">IF(D64&lt;&gt;"Yes","-",IF(G64=0,"Baseline - confirm",IF(H64&gt;=12,"High",IF(I64&gt;0,"Medium","Low"))))</f>
        <v>Low</v>
      </c>
      <c r="L64" s="13" t="s">
        <v>76</v>
      </c>
      <c r="M64" s="13" t="s">
        <v>252</v>
      </c>
      <c r="N64" s="14"/>
    </row>
    <row r="65" customFormat="false" ht="23.85" hidden="false" customHeight="false" outlineLevel="0" collapsed="false">
      <c r="A65" s="13" t="s">
        <v>253</v>
      </c>
      <c r="B65" s="13" t="s">
        <v>23</v>
      </c>
      <c r="C65" s="13" t="s">
        <v>254</v>
      </c>
      <c r="D65" s="14" t="s">
        <v>48</v>
      </c>
      <c r="E65" s="14" t="s">
        <v>255</v>
      </c>
      <c r="F65" s="13" t="s">
        <v>256</v>
      </c>
      <c r="G65" s="13" t="n">
        <f aca="false">COUNTIF('Risk-Control Links'!$D$2:$D$130,A65)</f>
        <v>5</v>
      </c>
      <c r="H65" s="13" t="n">
        <f aca="false">_xlfn.MAXIFS('Risk-Control Links'!$E$2:$E$130,'Risk-Control Links'!$D$2:$D$130,A65)</f>
        <v>12</v>
      </c>
      <c r="I65" s="13" t="n">
        <f aca="false">COUNTIFS('Risk-Control Links'!$D$2:$D$130,A65,'Risk-Control Links'!$F$2:$F$130,"Weak")</f>
        <v>1</v>
      </c>
      <c r="J65" s="13" t="str">
        <f aca="false">IF(D65&lt;&gt;"Yes","Not applicable",IF(G65=0,"Not assessed",IF(I65&gt;0,"Partially implemented","Largely in place - validate")))</f>
        <v>Partially implemented</v>
      </c>
      <c r="K65" s="13" t="str">
        <f aca="false">IF(D65&lt;&gt;"Yes","-",IF(G65=0,"Baseline - confirm",IF(H65&gt;=12,"High",IF(I65&gt;0,"Medium","Low"))))</f>
        <v>High</v>
      </c>
      <c r="L65" s="13" t="s">
        <v>68</v>
      </c>
      <c r="M65" s="13" t="s">
        <v>132</v>
      </c>
      <c r="N65" s="14"/>
    </row>
    <row r="66" customFormat="false" ht="23.85" hidden="false" customHeight="false" outlineLevel="0" collapsed="false">
      <c r="A66" s="13" t="s">
        <v>257</v>
      </c>
      <c r="B66" s="13" t="s">
        <v>23</v>
      </c>
      <c r="C66" s="13" t="s">
        <v>258</v>
      </c>
      <c r="D66" s="14" t="s">
        <v>48</v>
      </c>
      <c r="E66" s="14" t="s">
        <v>49</v>
      </c>
      <c r="F66" s="13"/>
      <c r="G66" s="13" t="n">
        <f aca="false">COUNTIF('Risk-Control Links'!$D$2:$D$130,A66)</f>
        <v>0</v>
      </c>
      <c r="H66" s="13" t="n">
        <f aca="false">_xlfn.MAXIFS('Risk-Control Links'!$E$2:$E$130,'Risk-Control Links'!$D$2:$D$130,A66)</f>
        <v>0</v>
      </c>
      <c r="I66" s="13" t="n">
        <f aca="false">COUNTIFS('Risk-Control Links'!$D$2:$D$130,A66,'Risk-Control Links'!$F$2:$F$130,"Weak")</f>
        <v>0</v>
      </c>
      <c r="J66" s="13" t="str">
        <f aca="false">IF(D66&lt;&gt;"Yes","Not applicable",IF(G66=0,"Not assessed",IF(I66&gt;0,"Partially implemented","Largely in place - validate")))</f>
        <v>Not assessed</v>
      </c>
      <c r="K66" s="13" t="str">
        <f aca="false">IF(D66&lt;&gt;"Yes","-",IF(G66=0,"Baseline - confirm",IF(H66&gt;=12,"High",IF(I66&gt;0,"Medium","Low"))))</f>
        <v>Baseline - confirm</v>
      </c>
      <c r="L66" s="13"/>
      <c r="M66" s="13"/>
      <c r="N66" s="14"/>
    </row>
    <row r="67" customFormat="false" ht="23.85" hidden="false" customHeight="false" outlineLevel="0" collapsed="false">
      <c r="A67" s="13" t="s">
        <v>259</v>
      </c>
      <c r="B67" s="13" t="s">
        <v>23</v>
      </c>
      <c r="C67" s="13" t="s">
        <v>260</v>
      </c>
      <c r="D67" s="14" t="s">
        <v>48</v>
      </c>
      <c r="E67" s="14" t="s">
        <v>261</v>
      </c>
      <c r="F67" s="13" t="s">
        <v>262</v>
      </c>
      <c r="G67" s="13" t="n">
        <f aca="false">COUNTIF('Risk-Control Links'!$D$2:$D$130,A67)</f>
        <v>1</v>
      </c>
      <c r="H67" s="13" t="n">
        <f aca="false">_xlfn.MAXIFS('Risk-Control Links'!$E$2:$E$130,'Risk-Control Links'!$D$2:$D$130,A67)</f>
        <v>9</v>
      </c>
      <c r="I67" s="13" t="n">
        <f aca="false">COUNTIFS('Risk-Control Links'!$D$2:$D$130,A67,'Risk-Control Links'!$F$2:$F$130,"Weak")</f>
        <v>1</v>
      </c>
      <c r="J67" s="13" t="str">
        <f aca="false">IF(D67&lt;&gt;"Yes","Not applicable",IF(G67=0,"Not assessed",IF(I67&gt;0,"Partially implemented","Largely in place - validate")))</f>
        <v>Partially implemented</v>
      </c>
      <c r="K67" s="13" t="str">
        <f aca="false">IF(D67&lt;&gt;"Yes","-",IF(G67=0,"Baseline - confirm",IF(H67&gt;=12,"High",IF(I67&gt;0,"Medium","Low"))))</f>
        <v>Medium</v>
      </c>
      <c r="L67" s="13" t="s">
        <v>263</v>
      </c>
      <c r="M67" s="13" t="s">
        <v>264</v>
      </c>
      <c r="N67" s="14"/>
    </row>
    <row r="68" customFormat="false" ht="23.85" hidden="false" customHeight="false" outlineLevel="0" collapsed="false">
      <c r="A68" s="13" t="s">
        <v>265</v>
      </c>
      <c r="B68" s="13" t="s">
        <v>23</v>
      </c>
      <c r="C68" s="13" t="s">
        <v>266</v>
      </c>
      <c r="D68" s="14" t="s">
        <v>48</v>
      </c>
      <c r="E68" s="14" t="s">
        <v>267</v>
      </c>
      <c r="F68" s="13" t="s">
        <v>268</v>
      </c>
      <c r="G68" s="13" t="n">
        <f aca="false">COUNTIF('Risk-Control Links'!$D$2:$D$130,A68)</f>
        <v>5</v>
      </c>
      <c r="H68" s="13" t="n">
        <f aca="false">_xlfn.MAXIFS('Risk-Control Links'!$E$2:$E$130,'Risk-Control Links'!$D$2:$D$130,A68)</f>
        <v>9</v>
      </c>
      <c r="I68" s="13" t="n">
        <f aca="false">COUNTIFS('Risk-Control Links'!$D$2:$D$130,A68,'Risk-Control Links'!$F$2:$F$130,"Weak")</f>
        <v>0</v>
      </c>
      <c r="J68" s="13" t="str">
        <f aca="false">IF(D68&lt;&gt;"Yes","Not applicable",IF(G68=0,"Not assessed",IF(I68&gt;0,"Partially implemented","Largely in place - validate")))</f>
        <v>Largely in place - validate</v>
      </c>
      <c r="K68" s="13" t="str">
        <f aca="false">IF(D68&lt;&gt;"Yes","-",IF(G68=0,"Baseline - confirm",IF(H68&gt;=12,"High",IF(I68&gt;0,"Medium","Low"))))</f>
        <v>Low</v>
      </c>
      <c r="L68" s="13" t="s">
        <v>68</v>
      </c>
      <c r="M68" s="13" t="s">
        <v>198</v>
      </c>
      <c r="N68" s="14"/>
    </row>
    <row r="69" customFormat="false" ht="15" hidden="false" customHeight="false" outlineLevel="0" collapsed="false">
      <c r="A69" s="13" t="s">
        <v>269</v>
      </c>
      <c r="B69" s="13" t="s">
        <v>23</v>
      </c>
      <c r="C69" s="13" t="s">
        <v>270</v>
      </c>
      <c r="D69" s="14" t="s">
        <v>48</v>
      </c>
      <c r="E69" s="14" t="s">
        <v>271</v>
      </c>
      <c r="F69" s="13" t="s">
        <v>272</v>
      </c>
      <c r="G69" s="13" t="n">
        <f aca="false">COUNTIF('Risk-Control Links'!$D$2:$D$130,A69)</f>
        <v>1</v>
      </c>
      <c r="H69" s="13" t="n">
        <f aca="false">_xlfn.MAXIFS('Risk-Control Links'!$E$2:$E$130,'Risk-Control Links'!$D$2:$D$130,A69)</f>
        <v>6</v>
      </c>
      <c r="I69" s="13" t="n">
        <f aca="false">COUNTIFS('Risk-Control Links'!$D$2:$D$130,A69,'Risk-Control Links'!$F$2:$F$130,"Weak")</f>
        <v>0</v>
      </c>
      <c r="J69" s="13" t="str">
        <f aca="false">IF(D69&lt;&gt;"Yes","Not applicable",IF(G69=0,"Not assessed",IF(I69&gt;0,"Partially implemented","Largely in place - validate")))</f>
        <v>Largely in place - validate</v>
      </c>
      <c r="K69" s="13" t="str">
        <f aca="false">IF(D69&lt;&gt;"Yes","-",IF(G69=0,"Baseline - confirm",IF(H69&gt;=12,"High",IF(I69&gt;0,"Medium","Low"))))</f>
        <v>Low</v>
      </c>
      <c r="L69" s="13" t="s">
        <v>76</v>
      </c>
      <c r="M69" s="13" t="s">
        <v>273</v>
      </c>
      <c r="N69" s="14"/>
    </row>
    <row r="70" customFormat="false" ht="23.85" hidden="false" customHeight="false" outlineLevel="0" collapsed="false">
      <c r="A70" s="13" t="s">
        <v>274</v>
      </c>
      <c r="B70" s="13" t="s">
        <v>23</v>
      </c>
      <c r="C70" s="13" t="s">
        <v>275</v>
      </c>
      <c r="D70" s="14" t="s">
        <v>48</v>
      </c>
      <c r="E70" s="14" t="s">
        <v>276</v>
      </c>
      <c r="F70" s="13" t="s">
        <v>277</v>
      </c>
      <c r="G70" s="13" t="n">
        <f aca="false">COUNTIF('Risk-Control Links'!$D$2:$D$130,A70)</f>
        <v>2</v>
      </c>
      <c r="H70" s="13" t="n">
        <f aca="false">_xlfn.MAXIFS('Risk-Control Links'!$E$2:$E$130,'Risk-Control Links'!$D$2:$D$130,A70)</f>
        <v>15</v>
      </c>
      <c r="I70" s="13" t="n">
        <f aca="false">COUNTIFS('Risk-Control Links'!$D$2:$D$130,A70,'Risk-Control Links'!$F$2:$F$130,"Weak")</f>
        <v>1</v>
      </c>
      <c r="J70" s="13" t="str">
        <f aca="false">IF(D70&lt;&gt;"Yes","Not applicable",IF(G70=0,"Not assessed",IF(I70&gt;0,"Partially implemented","Largely in place - validate")))</f>
        <v>Partially implemented</v>
      </c>
      <c r="K70" s="13" t="str">
        <f aca="false">IF(D70&lt;&gt;"Yes","-",IF(G70=0,"Baseline - confirm",IF(H70&gt;=12,"High",IF(I70&gt;0,"Medium","Low"))))</f>
        <v>High</v>
      </c>
      <c r="L70" s="13" t="s">
        <v>68</v>
      </c>
      <c r="M70" s="13" t="s">
        <v>147</v>
      </c>
      <c r="N70" s="14"/>
    </row>
    <row r="71" customFormat="false" ht="23.85" hidden="false" customHeight="false" outlineLevel="0" collapsed="false">
      <c r="A71" s="13" t="s">
        <v>278</v>
      </c>
      <c r="B71" s="13" t="s">
        <v>23</v>
      </c>
      <c r="C71" s="13" t="s">
        <v>279</v>
      </c>
      <c r="D71" s="14" t="s">
        <v>48</v>
      </c>
      <c r="E71" s="14" t="s">
        <v>280</v>
      </c>
      <c r="F71" s="13" t="s">
        <v>281</v>
      </c>
      <c r="G71" s="13" t="n">
        <f aca="false">COUNTIF('Risk-Control Links'!$D$2:$D$130,A71)</f>
        <v>3</v>
      </c>
      <c r="H71" s="13" t="n">
        <f aca="false">_xlfn.MAXIFS('Risk-Control Links'!$E$2:$E$130,'Risk-Control Links'!$D$2:$D$130,A71)</f>
        <v>12</v>
      </c>
      <c r="I71" s="13" t="n">
        <f aca="false">COUNTIFS('Risk-Control Links'!$D$2:$D$130,A71,'Risk-Control Links'!$F$2:$F$130,"Weak")</f>
        <v>2</v>
      </c>
      <c r="J71" s="13" t="str">
        <f aca="false">IF(D71&lt;&gt;"Yes","Not applicable",IF(G71=0,"Not assessed",IF(I71&gt;0,"Partially implemented","Largely in place - validate")))</f>
        <v>Partially implemented</v>
      </c>
      <c r="K71" s="13" t="str">
        <f aca="false">IF(D71&lt;&gt;"Yes","-",IF(G71=0,"Baseline - confirm",IF(H71&gt;=12,"High",IF(I71&gt;0,"Medium","Low"))))</f>
        <v>High</v>
      </c>
      <c r="L71" s="13" t="s">
        <v>282</v>
      </c>
      <c r="M71" s="13" t="s">
        <v>283</v>
      </c>
      <c r="N71" s="14"/>
    </row>
    <row r="72" customFormat="false" ht="23.85" hidden="false" customHeight="false" outlineLevel="0" collapsed="false">
      <c r="A72" s="13" t="s">
        <v>284</v>
      </c>
      <c r="B72" s="13" t="s">
        <v>23</v>
      </c>
      <c r="C72" s="13" t="s">
        <v>285</v>
      </c>
      <c r="D72" s="14" t="s">
        <v>48</v>
      </c>
      <c r="E72" s="14" t="s">
        <v>286</v>
      </c>
      <c r="F72" s="13" t="s">
        <v>287</v>
      </c>
      <c r="G72" s="13" t="n">
        <f aca="false">COUNTIF('Risk-Control Links'!$D$2:$D$130,A72)</f>
        <v>6</v>
      </c>
      <c r="H72" s="13" t="n">
        <f aca="false">_xlfn.MAXIFS('Risk-Control Links'!$E$2:$E$130,'Risk-Control Links'!$D$2:$D$130,A72)</f>
        <v>12</v>
      </c>
      <c r="I72" s="13" t="n">
        <f aca="false">COUNTIFS('Risk-Control Links'!$D$2:$D$130,A72,'Risk-Control Links'!$F$2:$F$130,"Weak")</f>
        <v>3</v>
      </c>
      <c r="J72" s="13" t="str">
        <f aca="false">IF(D72&lt;&gt;"Yes","Not applicable",IF(G72=0,"Not assessed",IF(I72&gt;0,"Partially implemented","Largely in place - validate")))</f>
        <v>Partially implemented</v>
      </c>
      <c r="K72" s="13" t="str">
        <f aca="false">IF(D72&lt;&gt;"Yes","-",IF(G72=0,"Baseline - confirm",IF(H72&gt;=12,"High",IF(I72&gt;0,"Medium","Low"))))</f>
        <v>High</v>
      </c>
      <c r="L72" s="13" t="s">
        <v>141</v>
      </c>
      <c r="M72" s="13" t="s">
        <v>283</v>
      </c>
      <c r="N72" s="14"/>
    </row>
    <row r="73" customFormat="false" ht="23.85" hidden="false" customHeight="false" outlineLevel="0" collapsed="false">
      <c r="A73" s="13" t="s">
        <v>288</v>
      </c>
      <c r="B73" s="13" t="s">
        <v>23</v>
      </c>
      <c r="C73" s="13" t="s">
        <v>289</v>
      </c>
      <c r="D73" s="14" t="s">
        <v>48</v>
      </c>
      <c r="E73" s="14" t="s">
        <v>87</v>
      </c>
      <c r="F73" s="13" t="s">
        <v>88</v>
      </c>
      <c r="G73" s="13" t="n">
        <f aca="false">COUNTIF('Risk-Control Links'!$D$2:$D$130,A73)</f>
        <v>1</v>
      </c>
      <c r="H73" s="13" t="n">
        <f aca="false">_xlfn.MAXIFS('Risk-Control Links'!$E$2:$E$130,'Risk-Control Links'!$D$2:$D$130,A73)</f>
        <v>9</v>
      </c>
      <c r="I73" s="13" t="n">
        <f aca="false">COUNTIFS('Risk-Control Links'!$D$2:$D$130,A73,'Risk-Control Links'!$F$2:$F$130,"Weak")</f>
        <v>1</v>
      </c>
      <c r="J73" s="13" t="str">
        <f aca="false">IF(D73&lt;&gt;"Yes","Not applicable",IF(G73=0,"Not assessed",IF(I73&gt;0,"Partially implemented","Largely in place - validate")))</f>
        <v>Partially implemented</v>
      </c>
      <c r="K73" s="13" t="str">
        <f aca="false">IF(D73&lt;&gt;"Yes","-",IF(G73=0,"Baseline - confirm",IF(H73&gt;=12,"High",IF(I73&gt;0,"Medium","Low"))))</f>
        <v>Medium</v>
      </c>
      <c r="L73" s="13" t="s">
        <v>89</v>
      </c>
      <c r="M73" s="13" t="s">
        <v>90</v>
      </c>
      <c r="N73" s="14"/>
    </row>
    <row r="74" customFormat="false" ht="23.85" hidden="false" customHeight="false" outlineLevel="0" collapsed="false">
      <c r="A74" s="13" t="s">
        <v>290</v>
      </c>
      <c r="B74" s="13" t="s">
        <v>23</v>
      </c>
      <c r="C74" s="13" t="s">
        <v>291</v>
      </c>
      <c r="D74" s="14" t="s">
        <v>48</v>
      </c>
      <c r="E74" s="14" t="s">
        <v>49</v>
      </c>
      <c r="F74" s="13"/>
      <c r="G74" s="13" t="n">
        <f aca="false">COUNTIF('Risk-Control Links'!$D$2:$D$130,A74)</f>
        <v>0</v>
      </c>
      <c r="H74" s="13" t="n">
        <f aca="false">_xlfn.MAXIFS('Risk-Control Links'!$E$2:$E$130,'Risk-Control Links'!$D$2:$D$130,A74)</f>
        <v>0</v>
      </c>
      <c r="I74" s="13" t="n">
        <f aca="false">COUNTIFS('Risk-Control Links'!$D$2:$D$130,A74,'Risk-Control Links'!$F$2:$F$130,"Weak")</f>
        <v>0</v>
      </c>
      <c r="J74" s="13" t="str">
        <f aca="false">IF(D74&lt;&gt;"Yes","Not applicable",IF(G74=0,"Not assessed",IF(I74&gt;0,"Partially implemented","Largely in place - validate")))</f>
        <v>Not assessed</v>
      </c>
      <c r="K74" s="13" t="str">
        <f aca="false">IF(D74&lt;&gt;"Yes","-",IF(G74=0,"Baseline - confirm",IF(H74&gt;=12,"High",IF(I74&gt;0,"Medium","Low"))))</f>
        <v>Baseline - confirm</v>
      </c>
      <c r="L74" s="13"/>
      <c r="M74" s="13"/>
      <c r="N74" s="14"/>
    </row>
    <row r="75" customFormat="false" ht="23.85" hidden="false" customHeight="false" outlineLevel="0" collapsed="false">
      <c r="A75" s="13" t="s">
        <v>292</v>
      </c>
      <c r="B75" s="13" t="s">
        <v>23</v>
      </c>
      <c r="C75" s="13" t="s">
        <v>293</v>
      </c>
      <c r="D75" s="14" t="s">
        <v>48</v>
      </c>
      <c r="E75" s="14" t="s">
        <v>294</v>
      </c>
      <c r="F75" s="13" t="s">
        <v>295</v>
      </c>
      <c r="G75" s="13" t="n">
        <f aca="false">COUNTIF('Risk-Control Links'!$D$2:$D$130,A75)</f>
        <v>4</v>
      </c>
      <c r="H75" s="13" t="n">
        <f aca="false">_xlfn.MAXIFS('Risk-Control Links'!$E$2:$E$130,'Risk-Control Links'!$D$2:$D$130,A75)</f>
        <v>9</v>
      </c>
      <c r="I75" s="13" t="n">
        <f aca="false">COUNTIFS('Risk-Control Links'!$D$2:$D$130,A75,'Risk-Control Links'!$F$2:$F$130,"Weak")</f>
        <v>0</v>
      </c>
      <c r="J75" s="13" t="str">
        <f aca="false">IF(D75&lt;&gt;"Yes","Not applicable",IF(G75=0,"Not assessed",IF(I75&gt;0,"Partially implemented","Largely in place - validate")))</f>
        <v>Largely in place - validate</v>
      </c>
      <c r="K75" s="13" t="str">
        <f aca="false">IF(D75&lt;&gt;"Yes","-",IF(G75=0,"Baseline - confirm",IF(H75&gt;=12,"High",IF(I75&gt;0,"Medium","Low"))))</f>
        <v>Low</v>
      </c>
      <c r="L75" s="13" t="s">
        <v>68</v>
      </c>
      <c r="M75" s="13" t="s">
        <v>296</v>
      </c>
      <c r="N75" s="14"/>
    </row>
    <row r="76" customFormat="false" ht="23.85" hidden="false" customHeight="false" outlineLevel="0" collapsed="false">
      <c r="A76" s="13" t="s">
        <v>297</v>
      </c>
      <c r="B76" s="13" t="s">
        <v>23</v>
      </c>
      <c r="C76" s="13" t="s">
        <v>298</v>
      </c>
      <c r="D76" s="14" t="s">
        <v>48</v>
      </c>
      <c r="E76" s="14" t="s">
        <v>299</v>
      </c>
      <c r="F76" s="13" t="s">
        <v>300</v>
      </c>
      <c r="G76" s="13" t="n">
        <f aca="false">COUNTIF('Risk-Control Links'!$D$2:$D$130,A76)</f>
        <v>2</v>
      </c>
      <c r="H76" s="13" t="n">
        <f aca="false">_xlfn.MAXIFS('Risk-Control Links'!$E$2:$E$130,'Risk-Control Links'!$D$2:$D$130,A76)</f>
        <v>15</v>
      </c>
      <c r="I76" s="13" t="n">
        <f aca="false">COUNTIFS('Risk-Control Links'!$D$2:$D$130,A76,'Risk-Control Links'!$F$2:$F$130,"Weak")</f>
        <v>2</v>
      </c>
      <c r="J76" s="13" t="str">
        <f aca="false">IF(D76&lt;&gt;"Yes","Not applicable",IF(G76=0,"Not assessed",IF(I76&gt;0,"Partially implemented","Largely in place - validate")))</f>
        <v>Partially implemented</v>
      </c>
      <c r="K76" s="13" t="str">
        <f aca="false">IF(D76&lt;&gt;"Yes","-",IF(G76=0,"Baseline - confirm",IF(H76&gt;=12,"High",IF(I76&gt;0,"Medium","Low"))))</f>
        <v>High</v>
      </c>
      <c r="L76" s="13" t="s">
        <v>282</v>
      </c>
      <c r="M76" s="13" t="s">
        <v>147</v>
      </c>
      <c r="N76" s="14"/>
    </row>
    <row r="77" customFormat="false" ht="23.85" hidden="false" customHeight="false" outlineLevel="0" collapsed="false">
      <c r="A77" s="13" t="s">
        <v>301</v>
      </c>
      <c r="B77" s="13" t="s">
        <v>23</v>
      </c>
      <c r="C77" s="13" t="s">
        <v>302</v>
      </c>
      <c r="D77" s="14" t="s">
        <v>48</v>
      </c>
      <c r="E77" s="14" t="s">
        <v>303</v>
      </c>
      <c r="F77" s="13" t="s">
        <v>304</v>
      </c>
      <c r="G77" s="13" t="n">
        <f aca="false">COUNTIF('Risk-Control Links'!$D$2:$D$130,A77)</f>
        <v>2</v>
      </c>
      <c r="H77" s="13" t="n">
        <f aca="false">_xlfn.MAXIFS('Risk-Control Links'!$E$2:$E$130,'Risk-Control Links'!$D$2:$D$130,A77)</f>
        <v>12</v>
      </c>
      <c r="I77" s="13" t="n">
        <f aca="false">COUNTIFS('Risk-Control Links'!$D$2:$D$130,A77,'Risk-Control Links'!$F$2:$F$130,"Weak")</f>
        <v>1</v>
      </c>
      <c r="J77" s="13" t="str">
        <f aca="false">IF(D77&lt;&gt;"Yes","Not applicable",IF(G77=0,"Not assessed",IF(I77&gt;0,"Partially implemented","Largely in place - validate")))</f>
        <v>Partially implemented</v>
      </c>
      <c r="K77" s="13" t="str">
        <f aca="false">IF(D77&lt;&gt;"Yes","-",IF(G77=0,"Baseline - confirm",IF(H77&gt;=12,"High",IF(I77&gt;0,"Medium","Low"))))</f>
        <v>High</v>
      </c>
      <c r="L77" s="13" t="s">
        <v>282</v>
      </c>
      <c r="M77" s="13" t="s">
        <v>305</v>
      </c>
      <c r="N77" s="14"/>
    </row>
    <row r="78" customFormat="false" ht="23.85" hidden="false" customHeight="false" outlineLevel="0" collapsed="false">
      <c r="A78" s="13" t="s">
        <v>306</v>
      </c>
      <c r="B78" s="13" t="s">
        <v>23</v>
      </c>
      <c r="C78" s="13" t="s">
        <v>307</v>
      </c>
      <c r="D78" s="14" t="s">
        <v>48</v>
      </c>
      <c r="E78" s="14" t="s">
        <v>308</v>
      </c>
      <c r="F78" s="13" t="s">
        <v>309</v>
      </c>
      <c r="G78" s="13" t="n">
        <f aca="false">COUNTIF('Risk-Control Links'!$D$2:$D$130,A78)</f>
        <v>3</v>
      </c>
      <c r="H78" s="13" t="n">
        <f aca="false">_xlfn.MAXIFS('Risk-Control Links'!$E$2:$E$130,'Risk-Control Links'!$D$2:$D$130,A78)</f>
        <v>9</v>
      </c>
      <c r="I78" s="13" t="n">
        <f aca="false">COUNTIFS('Risk-Control Links'!$D$2:$D$130,A78,'Risk-Control Links'!$F$2:$F$130,"Weak")</f>
        <v>1</v>
      </c>
      <c r="J78" s="13" t="str">
        <f aca="false">IF(D78&lt;&gt;"Yes","Not applicable",IF(G78=0,"Not assessed",IF(I78&gt;0,"Partially implemented","Largely in place - validate")))</f>
        <v>Partially implemented</v>
      </c>
      <c r="K78" s="13" t="str">
        <f aca="false">IF(D78&lt;&gt;"Yes","-",IF(G78=0,"Baseline - confirm",IF(H78&gt;=12,"High",IF(I78&gt;0,"Medium","Low"))))</f>
        <v>Medium</v>
      </c>
      <c r="L78" s="13" t="s">
        <v>68</v>
      </c>
      <c r="M78" s="13" t="s">
        <v>310</v>
      </c>
      <c r="N78" s="14"/>
    </row>
    <row r="79" customFormat="false" ht="23.85" hidden="false" customHeight="false" outlineLevel="0" collapsed="false">
      <c r="A79" s="13" t="s">
        <v>311</v>
      </c>
      <c r="B79" s="13" t="s">
        <v>23</v>
      </c>
      <c r="C79" s="13" t="s">
        <v>312</v>
      </c>
      <c r="D79" s="14" t="s">
        <v>48</v>
      </c>
      <c r="E79" s="14" t="s">
        <v>313</v>
      </c>
      <c r="F79" s="13" t="s">
        <v>314</v>
      </c>
      <c r="G79" s="13" t="n">
        <f aca="false">COUNTIF('Risk-Control Links'!$D$2:$D$130,A79)</f>
        <v>4</v>
      </c>
      <c r="H79" s="13" t="n">
        <f aca="false">_xlfn.MAXIFS('Risk-Control Links'!$E$2:$E$130,'Risk-Control Links'!$D$2:$D$130,A79)</f>
        <v>9</v>
      </c>
      <c r="I79" s="13" t="n">
        <f aca="false">COUNTIFS('Risk-Control Links'!$D$2:$D$130,A79,'Risk-Control Links'!$F$2:$F$130,"Weak")</f>
        <v>2</v>
      </c>
      <c r="J79" s="13" t="str">
        <f aca="false">IF(D79&lt;&gt;"Yes","Not applicable",IF(G79=0,"Not assessed",IF(I79&gt;0,"Partially implemented","Largely in place - validate")))</f>
        <v>Partially implemented</v>
      </c>
      <c r="K79" s="13" t="str">
        <f aca="false">IF(D79&lt;&gt;"Yes","-",IF(G79=0,"Baseline - confirm",IF(H79&gt;=12,"High",IF(I79&gt;0,"Medium","Low"))))</f>
        <v>Medium</v>
      </c>
      <c r="L79" s="13" t="s">
        <v>68</v>
      </c>
      <c r="M79" s="13" t="s">
        <v>310</v>
      </c>
      <c r="N79" s="14"/>
    </row>
    <row r="80" customFormat="false" ht="23.85" hidden="false" customHeight="false" outlineLevel="0" collapsed="false">
      <c r="A80" s="13" t="s">
        <v>315</v>
      </c>
      <c r="B80" s="13" t="s">
        <v>23</v>
      </c>
      <c r="C80" s="13" t="s">
        <v>316</v>
      </c>
      <c r="D80" s="14" t="s">
        <v>48</v>
      </c>
      <c r="E80" s="14" t="s">
        <v>49</v>
      </c>
      <c r="F80" s="13"/>
      <c r="G80" s="13" t="n">
        <f aca="false">COUNTIF('Risk-Control Links'!$D$2:$D$130,A80)</f>
        <v>0</v>
      </c>
      <c r="H80" s="13" t="n">
        <f aca="false">_xlfn.MAXIFS('Risk-Control Links'!$E$2:$E$130,'Risk-Control Links'!$D$2:$D$130,A80)</f>
        <v>0</v>
      </c>
      <c r="I80" s="13" t="n">
        <f aca="false">COUNTIFS('Risk-Control Links'!$D$2:$D$130,A80,'Risk-Control Links'!$F$2:$F$130,"Weak")</f>
        <v>0</v>
      </c>
      <c r="J80" s="13" t="str">
        <f aca="false">IF(D80&lt;&gt;"Yes","Not applicable",IF(G80=0,"Not assessed",IF(I80&gt;0,"Partially implemented","Largely in place - validate")))</f>
        <v>Not assessed</v>
      </c>
      <c r="K80" s="13" t="str">
        <f aca="false">IF(D80&lt;&gt;"Yes","-",IF(G80=0,"Baseline - confirm",IF(H80&gt;=12,"High",IF(I80&gt;0,"Medium","Low"))))</f>
        <v>Baseline - confirm</v>
      </c>
      <c r="L80" s="13"/>
      <c r="M80" s="13"/>
      <c r="N80" s="14"/>
    </row>
    <row r="81" customFormat="false" ht="23.85" hidden="false" customHeight="false" outlineLevel="0" collapsed="false">
      <c r="A81" s="13" t="s">
        <v>317</v>
      </c>
      <c r="B81" s="13" t="s">
        <v>23</v>
      </c>
      <c r="C81" s="13" t="s">
        <v>318</v>
      </c>
      <c r="D81" s="14" t="s">
        <v>48</v>
      </c>
      <c r="E81" s="14" t="s">
        <v>49</v>
      </c>
      <c r="F81" s="13"/>
      <c r="G81" s="13" t="n">
        <f aca="false">COUNTIF('Risk-Control Links'!$D$2:$D$130,A81)</f>
        <v>0</v>
      </c>
      <c r="H81" s="13" t="n">
        <f aca="false">_xlfn.MAXIFS('Risk-Control Links'!$E$2:$E$130,'Risk-Control Links'!$D$2:$D$130,A81)</f>
        <v>0</v>
      </c>
      <c r="I81" s="13" t="n">
        <f aca="false">COUNTIFS('Risk-Control Links'!$D$2:$D$130,A81,'Risk-Control Links'!$F$2:$F$130,"Weak")</f>
        <v>0</v>
      </c>
      <c r="J81" s="13" t="str">
        <f aca="false">IF(D81&lt;&gt;"Yes","Not applicable",IF(G81=0,"Not assessed",IF(I81&gt;0,"Partially implemented","Largely in place - validate")))</f>
        <v>Not assessed</v>
      </c>
      <c r="K81" s="13" t="str">
        <f aca="false">IF(D81&lt;&gt;"Yes","-",IF(G81=0,"Baseline - confirm",IF(H81&gt;=12,"High",IF(I81&gt;0,"Medium","Low"))))</f>
        <v>Baseline - confirm</v>
      </c>
      <c r="L81" s="13"/>
      <c r="M81" s="13"/>
      <c r="N81" s="14"/>
    </row>
    <row r="82" customFormat="false" ht="23.85" hidden="false" customHeight="false" outlineLevel="0" collapsed="false">
      <c r="A82" s="13" t="s">
        <v>319</v>
      </c>
      <c r="B82" s="13" t="s">
        <v>23</v>
      </c>
      <c r="C82" s="13" t="s">
        <v>320</v>
      </c>
      <c r="D82" s="14" t="s">
        <v>48</v>
      </c>
      <c r="E82" s="14" t="s">
        <v>49</v>
      </c>
      <c r="F82" s="13"/>
      <c r="G82" s="13" t="n">
        <f aca="false">COUNTIF('Risk-Control Links'!$D$2:$D$130,A82)</f>
        <v>0</v>
      </c>
      <c r="H82" s="13" t="n">
        <f aca="false">_xlfn.MAXIFS('Risk-Control Links'!$E$2:$E$130,'Risk-Control Links'!$D$2:$D$130,A82)</f>
        <v>0</v>
      </c>
      <c r="I82" s="13" t="n">
        <f aca="false">COUNTIFS('Risk-Control Links'!$D$2:$D$130,A82,'Risk-Control Links'!$F$2:$F$130,"Weak")</f>
        <v>0</v>
      </c>
      <c r="J82" s="13" t="str">
        <f aca="false">IF(D82&lt;&gt;"Yes","Not applicable",IF(G82=0,"Not assessed",IF(I82&gt;0,"Partially implemented","Largely in place - validate")))</f>
        <v>Not assessed</v>
      </c>
      <c r="K82" s="13" t="str">
        <f aca="false">IF(D82&lt;&gt;"Yes","-",IF(G82=0,"Baseline - confirm",IF(H82&gt;=12,"High",IF(I82&gt;0,"Medium","Low"))))</f>
        <v>Baseline - confirm</v>
      </c>
      <c r="L82" s="13"/>
      <c r="M82" s="13"/>
      <c r="N82" s="14"/>
    </row>
    <row r="83" customFormat="false" ht="35.05" hidden="false" customHeight="false" outlineLevel="0" collapsed="false">
      <c r="A83" s="13" t="s">
        <v>321</v>
      </c>
      <c r="B83" s="13" t="s">
        <v>23</v>
      </c>
      <c r="C83" s="13" t="s">
        <v>322</v>
      </c>
      <c r="D83" s="14" t="s">
        <v>48</v>
      </c>
      <c r="E83" s="14" t="s">
        <v>323</v>
      </c>
      <c r="F83" s="13" t="s">
        <v>324</v>
      </c>
      <c r="G83" s="13" t="n">
        <f aca="false">COUNTIF('Risk-Control Links'!$D$2:$D$130,A83)</f>
        <v>9</v>
      </c>
      <c r="H83" s="13" t="n">
        <f aca="false">_xlfn.MAXIFS('Risk-Control Links'!$E$2:$E$130,'Risk-Control Links'!$D$2:$D$130,A83)</f>
        <v>12</v>
      </c>
      <c r="I83" s="13" t="n">
        <f aca="false">COUNTIFS('Risk-Control Links'!$D$2:$D$130,A83,'Risk-Control Links'!$F$2:$F$130,"Weak")</f>
        <v>2</v>
      </c>
      <c r="J83" s="13" t="str">
        <f aca="false">IF(D83&lt;&gt;"Yes","Not applicable",IF(G83=0,"Not assessed",IF(I83&gt;0,"Partially implemented","Largely in place - validate")))</f>
        <v>Partially implemented</v>
      </c>
      <c r="K83" s="13" t="str">
        <f aca="false">IF(D83&lt;&gt;"Yes","-",IF(G83=0,"Baseline - confirm",IF(H83&gt;=12,"High",IF(I83&gt;0,"Medium","Low"))))</f>
        <v>High</v>
      </c>
      <c r="L83" s="13" t="s">
        <v>325</v>
      </c>
      <c r="M83" s="13" t="s">
        <v>326</v>
      </c>
      <c r="N83" s="14"/>
    </row>
    <row r="84" customFormat="false" ht="23.85" hidden="false" customHeight="false" outlineLevel="0" collapsed="false">
      <c r="A84" s="13" t="s">
        <v>327</v>
      </c>
      <c r="B84" s="13" t="s">
        <v>23</v>
      </c>
      <c r="C84" s="13" t="s">
        <v>328</v>
      </c>
      <c r="D84" s="14" t="s">
        <v>48</v>
      </c>
      <c r="E84" s="14" t="s">
        <v>329</v>
      </c>
      <c r="F84" s="13" t="s">
        <v>330</v>
      </c>
      <c r="G84" s="13" t="n">
        <f aca="false">COUNTIF('Risk-Control Links'!$D$2:$D$130,A84)</f>
        <v>2</v>
      </c>
      <c r="H84" s="13" t="n">
        <f aca="false">_xlfn.MAXIFS('Risk-Control Links'!$E$2:$E$130,'Risk-Control Links'!$D$2:$D$130,A84)</f>
        <v>12</v>
      </c>
      <c r="I84" s="13" t="n">
        <f aca="false">COUNTIFS('Risk-Control Links'!$D$2:$D$130,A84,'Risk-Control Links'!$F$2:$F$130,"Weak")</f>
        <v>0</v>
      </c>
      <c r="J84" s="13" t="str">
        <f aca="false">IF(D84&lt;&gt;"Yes","Not applicable",IF(G84=0,"Not assessed",IF(I84&gt;0,"Partially implemented","Largely in place - validate")))</f>
        <v>Largely in place - validate</v>
      </c>
      <c r="K84" s="13" t="str">
        <f aca="false">IF(D84&lt;&gt;"Yes","-",IF(G84=0,"Baseline - confirm",IF(H84&gt;=12,"High",IF(I84&gt;0,"Medium","Low"))))</f>
        <v>High</v>
      </c>
      <c r="L84" s="13" t="s">
        <v>68</v>
      </c>
      <c r="M84" s="13" t="s">
        <v>326</v>
      </c>
      <c r="N84" s="14"/>
    </row>
    <row r="85" customFormat="false" ht="23.85" hidden="false" customHeight="false" outlineLevel="0" collapsed="false">
      <c r="A85" s="13" t="s">
        <v>331</v>
      </c>
      <c r="B85" s="13" t="s">
        <v>23</v>
      </c>
      <c r="C85" s="13" t="s">
        <v>332</v>
      </c>
      <c r="D85" s="14" t="s">
        <v>48</v>
      </c>
      <c r="E85" s="14" t="s">
        <v>333</v>
      </c>
      <c r="F85" s="13" t="s">
        <v>334</v>
      </c>
      <c r="G85" s="13" t="n">
        <f aca="false">COUNTIF('Risk-Control Links'!$D$2:$D$130,A85)</f>
        <v>2</v>
      </c>
      <c r="H85" s="13" t="n">
        <f aca="false">_xlfn.MAXIFS('Risk-Control Links'!$E$2:$E$130,'Risk-Control Links'!$D$2:$D$130,A85)</f>
        <v>12</v>
      </c>
      <c r="I85" s="13" t="n">
        <f aca="false">COUNTIFS('Risk-Control Links'!$D$2:$D$130,A85,'Risk-Control Links'!$F$2:$F$130,"Weak")</f>
        <v>1</v>
      </c>
      <c r="J85" s="13" t="str">
        <f aca="false">IF(D85&lt;&gt;"Yes","Not applicable",IF(G85=0,"Not assessed",IF(I85&gt;0,"Partially implemented","Largely in place - validate")))</f>
        <v>Partially implemented</v>
      </c>
      <c r="K85" s="13" t="str">
        <f aca="false">IF(D85&lt;&gt;"Yes","-",IF(G85=0,"Baseline - confirm",IF(H85&gt;=12,"High",IF(I85&gt;0,"Medium","Low"))))</f>
        <v>High</v>
      </c>
      <c r="L85" s="13" t="s">
        <v>68</v>
      </c>
      <c r="M85" s="13" t="s">
        <v>335</v>
      </c>
      <c r="N85" s="14"/>
    </row>
    <row r="86" customFormat="false" ht="23.85" hidden="false" customHeight="false" outlineLevel="0" collapsed="false">
      <c r="A86" s="13" t="s">
        <v>336</v>
      </c>
      <c r="B86" s="13" t="s">
        <v>23</v>
      </c>
      <c r="C86" s="13" t="s">
        <v>337</v>
      </c>
      <c r="D86" s="14" t="s">
        <v>48</v>
      </c>
      <c r="E86" s="14" t="s">
        <v>49</v>
      </c>
      <c r="F86" s="13"/>
      <c r="G86" s="13" t="n">
        <f aca="false">COUNTIF('Risk-Control Links'!$D$2:$D$130,A86)</f>
        <v>0</v>
      </c>
      <c r="H86" s="13" t="n">
        <f aca="false">_xlfn.MAXIFS('Risk-Control Links'!$E$2:$E$130,'Risk-Control Links'!$D$2:$D$130,A86)</f>
        <v>0</v>
      </c>
      <c r="I86" s="13" t="n">
        <f aca="false">COUNTIFS('Risk-Control Links'!$D$2:$D$130,A86,'Risk-Control Links'!$F$2:$F$130,"Weak")</f>
        <v>0</v>
      </c>
      <c r="J86" s="13" t="str">
        <f aca="false">IF(D86&lt;&gt;"Yes","Not applicable",IF(G86=0,"Not assessed",IF(I86&gt;0,"Partially implemented","Largely in place - validate")))</f>
        <v>Not assessed</v>
      </c>
      <c r="K86" s="13" t="str">
        <f aca="false">IF(D86&lt;&gt;"Yes","-",IF(G86=0,"Baseline - confirm",IF(H86&gt;=12,"High",IF(I86&gt;0,"Medium","Low"))))</f>
        <v>Baseline - confirm</v>
      </c>
      <c r="L86" s="13"/>
      <c r="M86" s="13"/>
      <c r="N86" s="14"/>
    </row>
    <row r="87" customFormat="false" ht="23.85" hidden="false" customHeight="false" outlineLevel="0" collapsed="false">
      <c r="A87" s="13" t="s">
        <v>338</v>
      </c>
      <c r="B87" s="13" t="s">
        <v>23</v>
      </c>
      <c r="C87" s="13" t="s">
        <v>339</v>
      </c>
      <c r="D87" s="14" t="s">
        <v>48</v>
      </c>
      <c r="E87" s="14" t="s">
        <v>340</v>
      </c>
      <c r="F87" s="13" t="s">
        <v>341</v>
      </c>
      <c r="G87" s="13" t="n">
        <f aca="false">COUNTIF('Risk-Control Links'!$D$2:$D$130,A87)</f>
        <v>3</v>
      </c>
      <c r="H87" s="13" t="n">
        <f aca="false">_xlfn.MAXIFS('Risk-Control Links'!$E$2:$E$130,'Risk-Control Links'!$D$2:$D$130,A87)</f>
        <v>9</v>
      </c>
      <c r="I87" s="13" t="n">
        <f aca="false">COUNTIFS('Risk-Control Links'!$D$2:$D$130,A87,'Risk-Control Links'!$F$2:$F$130,"Weak")</f>
        <v>1</v>
      </c>
      <c r="J87" s="13" t="str">
        <f aca="false">IF(D87&lt;&gt;"Yes","Not applicable",IF(G87=0,"Not assessed",IF(I87&gt;0,"Partially implemented","Largely in place - validate")))</f>
        <v>Partially implemented</v>
      </c>
      <c r="K87" s="13" t="str">
        <f aca="false">IF(D87&lt;&gt;"Yes","-",IF(G87=0,"Baseline - confirm",IF(H87&gt;=12,"High",IF(I87&gt;0,"Medium","Low"))))</f>
        <v>Medium</v>
      </c>
      <c r="L87" s="13" t="s">
        <v>342</v>
      </c>
      <c r="M87" s="13" t="s">
        <v>264</v>
      </c>
      <c r="N87" s="14"/>
    </row>
    <row r="88" customFormat="false" ht="23.85" hidden="false" customHeight="false" outlineLevel="0" collapsed="false">
      <c r="A88" s="13" t="s">
        <v>343</v>
      </c>
      <c r="B88" s="13" t="s">
        <v>23</v>
      </c>
      <c r="C88" s="13" t="s">
        <v>344</v>
      </c>
      <c r="D88" s="14" t="s">
        <v>48</v>
      </c>
      <c r="E88" s="14" t="s">
        <v>345</v>
      </c>
      <c r="F88" s="13" t="s">
        <v>346</v>
      </c>
      <c r="G88" s="13" t="n">
        <f aca="false">COUNTIF('Risk-Control Links'!$D$2:$D$130,A88)</f>
        <v>2</v>
      </c>
      <c r="H88" s="13" t="n">
        <f aca="false">_xlfn.MAXIFS('Risk-Control Links'!$E$2:$E$130,'Risk-Control Links'!$D$2:$D$130,A88)</f>
        <v>12</v>
      </c>
      <c r="I88" s="13" t="n">
        <f aca="false">COUNTIFS('Risk-Control Links'!$D$2:$D$130,A88,'Risk-Control Links'!$F$2:$F$130,"Weak")</f>
        <v>1</v>
      </c>
      <c r="J88" s="13" t="str">
        <f aca="false">IF(D88&lt;&gt;"Yes","Not applicable",IF(G88=0,"Not assessed",IF(I88&gt;0,"Partially implemented","Largely in place - validate")))</f>
        <v>Partially implemented</v>
      </c>
      <c r="K88" s="13" t="str">
        <f aca="false">IF(D88&lt;&gt;"Yes","-",IF(G88=0,"Baseline - confirm",IF(H88&gt;=12,"High",IF(I88&gt;0,"Medium","Low"))))</f>
        <v>High</v>
      </c>
      <c r="L88" s="13" t="s">
        <v>263</v>
      </c>
      <c r="M88" s="13" t="s">
        <v>347</v>
      </c>
      <c r="N88" s="14"/>
    </row>
    <row r="89" customFormat="false" ht="23.85" hidden="false" customHeight="false" outlineLevel="0" collapsed="false">
      <c r="A89" s="13" t="s">
        <v>348</v>
      </c>
      <c r="B89" s="13" t="s">
        <v>23</v>
      </c>
      <c r="C89" s="13" t="s">
        <v>349</v>
      </c>
      <c r="D89" s="14" t="s">
        <v>48</v>
      </c>
      <c r="E89" s="14" t="s">
        <v>350</v>
      </c>
      <c r="F89" s="13" t="s">
        <v>351</v>
      </c>
      <c r="G89" s="13" t="n">
        <f aca="false">COUNTIF('Risk-Control Links'!$D$2:$D$130,A89)</f>
        <v>1</v>
      </c>
      <c r="H89" s="13" t="n">
        <f aca="false">_xlfn.MAXIFS('Risk-Control Links'!$E$2:$E$130,'Risk-Control Links'!$D$2:$D$130,A89)</f>
        <v>6</v>
      </c>
      <c r="I89" s="13" t="n">
        <f aca="false">COUNTIFS('Risk-Control Links'!$D$2:$D$130,A89,'Risk-Control Links'!$F$2:$F$130,"Weak")</f>
        <v>0</v>
      </c>
      <c r="J89" s="13" t="str">
        <f aca="false">IF(D89&lt;&gt;"Yes","Not applicable",IF(G89=0,"Not assessed",IF(I89&gt;0,"Partially implemented","Largely in place - validate")))</f>
        <v>Largely in place - validate</v>
      </c>
      <c r="K89" s="13" t="str">
        <f aca="false">IF(D89&lt;&gt;"Yes","-",IF(G89=0,"Baseline - confirm",IF(H89&gt;=12,"High",IF(I89&gt;0,"Medium","Low"))))</f>
        <v>Low</v>
      </c>
      <c r="L89" s="13" t="s">
        <v>352</v>
      </c>
      <c r="M89" s="13" t="s">
        <v>353</v>
      </c>
      <c r="N89" s="14"/>
    </row>
    <row r="90" customFormat="false" ht="15" hidden="false" customHeight="false" outlineLevel="0" collapsed="false">
      <c r="A90" s="13" t="s">
        <v>354</v>
      </c>
      <c r="B90" s="13" t="s">
        <v>23</v>
      </c>
      <c r="C90" s="13" t="s">
        <v>355</v>
      </c>
      <c r="D90" s="14" t="s">
        <v>48</v>
      </c>
      <c r="E90" s="14" t="s">
        <v>356</v>
      </c>
      <c r="F90" s="13" t="s">
        <v>357</v>
      </c>
      <c r="G90" s="13" t="n">
        <f aca="false">COUNTIF('Risk-Control Links'!$D$2:$D$130,A90)</f>
        <v>1</v>
      </c>
      <c r="H90" s="13" t="n">
        <f aca="false">_xlfn.MAXIFS('Risk-Control Links'!$E$2:$E$130,'Risk-Control Links'!$D$2:$D$130,A90)</f>
        <v>6</v>
      </c>
      <c r="I90" s="13" t="n">
        <f aca="false">COUNTIFS('Risk-Control Links'!$D$2:$D$130,A90,'Risk-Control Links'!$F$2:$F$130,"Weak")</f>
        <v>0</v>
      </c>
      <c r="J90" s="13" t="str">
        <f aca="false">IF(D90&lt;&gt;"Yes","Not applicable",IF(G90=0,"Not assessed",IF(I90&gt;0,"Partially implemented","Largely in place - validate")))</f>
        <v>Largely in place - validate</v>
      </c>
      <c r="K90" s="13" t="str">
        <f aca="false">IF(D90&lt;&gt;"Yes","-",IF(G90=0,"Baseline - confirm",IF(H90&gt;=12,"High",IF(I90&gt;0,"Medium","Low"))))</f>
        <v>Low</v>
      </c>
      <c r="L90" s="13" t="s">
        <v>141</v>
      </c>
      <c r="M90" s="13" t="s">
        <v>358</v>
      </c>
      <c r="N90" s="14"/>
    </row>
    <row r="91" customFormat="false" ht="15" hidden="false" customHeight="false" outlineLevel="0" collapsed="false">
      <c r="A91" s="13" t="s">
        <v>359</v>
      </c>
      <c r="B91" s="13" t="s">
        <v>23</v>
      </c>
      <c r="C91" s="13" t="s">
        <v>360</v>
      </c>
      <c r="D91" s="14" t="s">
        <v>48</v>
      </c>
      <c r="E91" s="14" t="s">
        <v>361</v>
      </c>
      <c r="F91" s="13" t="s">
        <v>362</v>
      </c>
      <c r="G91" s="13" t="n">
        <f aca="false">COUNTIF('Risk-Control Links'!$D$2:$D$130,A91)</f>
        <v>1</v>
      </c>
      <c r="H91" s="13" t="n">
        <f aca="false">_xlfn.MAXIFS('Risk-Control Links'!$E$2:$E$130,'Risk-Control Links'!$D$2:$D$130,A91)</f>
        <v>6</v>
      </c>
      <c r="I91" s="13" t="n">
        <f aca="false">COUNTIFS('Risk-Control Links'!$D$2:$D$130,A91,'Risk-Control Links'!$F$2:$F$130,"Weak")</f>
        <v>0</v>
      </c>
      <c r="J91" s="13" t="str">
        <f aca="false">IF(D91&lt;&gt;"Yes","Not applicable",IF(G91=0,"Not assessed",IF(I91&gt;0,"Partially implemented","Largely in place - validate")))</f>
        <v>Largely in place - validate</v>
      </c>
      <c r="K91" s="13" t="str">
        <f aca="false">IF(D91&lt;&gt;"Yes","-",IF(G91=0,"Baseline - confirm",IF(H91&gt;=12,"High",IF(I91&gt;0,"Medium","Low"))))</f>
        <v>Low</v>
      </c>
      <c r="L91" s="13" t="s">
        <v>263</v>
      </c>
      <c r="M91" s="13" t="s">
        <v>363</v>
      </c>
      <c r="N91" s="14"/>
    </row>
    <row r="92" customFormat="false" ht="15" hidden="false" customHeight="false" outlineLevel="0" collapsed="false">
      <c r="A92" s="13" t="s">
        <v>364</v>
      </c>
      <c r="B92" s="13" t="s">
        <v>23</v>
      </c>
      <c r="C92" s="13" t="s">
        <v>365</v>
      </c>
      <c r="D92" s="14" t="s">
        <v>48</v>
      </c>
      <c r="E92" s="14" t="s">
        <v>361</v>
      </c>
      <c r="F92" s="13" t="s">
        <v>362</v>
      </c>
      <c r="G92" s="13" t="n">
        <f aca="false">COUNTIF('Risk-Control Links'!$D$2:$D$130,A92)</f>
        <v>1</v>
      </c>
      <c r="H92" s="13" t="n">
        <f aca="false">_xlfn.MAXIFS('Risk-Control Links'!$E$2:$E$130,'Risk-Control Links'!$D$2:$D$130,A92)</f>
        <v>6</v>
      </c>
      <c r="I92" s="13" t="n">
        <f aca="false">COUNTIFS('Risk-Control Links'!$D$2:$D$130,A92,'Risk-Control Links'!$F$2:$F$130,"Weak")</f>
        <v>0</v>
      </c>
      <c r="J92" s="13" t="str">
        <f aca="false">IF(D92&lt;&gt;"Yes","Not applicable",IF(G92=0,"Not assessed",IF(I92&gt;0,"Partially implemented","Largely in place - validate")))</f>
        <v>Largely in place - validate</v>
      </c>
      <c r="K92" s="13" t="str">
        <f aca="false">IF(D92&lt;&gt;"Yes","-",IF(G92=0,"Baseline - confirm",IF(H92&gt;=12,"High",IF(I92&gt;0,"Medium","Low"))))</f>
        <v>Low</v>
      </c>
      <c r="L92" s="13" t="s">
        <v>263</v>
      </c>
      <c r="M92" s="13" t="s">
        <v>363</v>
      </c>
      <c r="N92" s="14"/>
    </row>
    <row r="93" customFormat="false" ht="23.85" hidden="false" customHeight="false" outlineLevel="0" collapsed="false">
      <c r="A93" s="13" t="s">
        <v>366</v>
      </c>
      <c r="B93" s="13" t="s">
        <v>23</v>
      </c>
      <c r="C93" s="13" t="s">
        <v>367</v>
      </c>
      <c r="D93" s="14" t="s">
        <v>48</v>
      </c>
      <c r="E93" s="14" t="s">
        <v>368</v>
      </c>
      <c r="F93" s="13" t="s">
        <v>369</v>
      </c>
      <c r="G93" s="13" t="n">
        <f aca="false">COUNTIF('Risk-Control Links'!$D$2:$D$130,A93)</f>
        <v>1</v>
      </c>
      <c r="H93" s="13" t="n">
        <f aca="false">_xlfn.MAXIFS('Risk-Control Links'!$E$2:$E$130,'Risk-Control Links'!$D$2:$D$130,A93)</f>
        <v>12</v>
      </c>
      <c r="I93" s="13" t="n">
        <f aca="false">COUNTIFS('Risk-Control Links'!$D$2:$D$130,A93,'Risk-Control Links'!$F$2:$F$130,"Weak")</f>
        <v>1</v>
      </c>
      <c r="J93" s="13" t="str">
        <f aca="false">IF(D93&lt;&gt;"Yes","Not applicable",IF(G93=0,"Not assessed",IF(I93&gt;0,"Partially implemented","Largely in place - validate")))</f>
        <v>Partially implemented</v>
      </c>
      <c r="K93" s="13" t="str">
        <f aca="false">IF(D93&lt;&gt;"Yes","-",IF(G93=0,"Baseline - confirm",IF(H93&gt;=12,"High",IF(I93&gt;0,"Medium","Low"))))</f>
        <v>High</v>
      </c>
      <c r="L93" s="13" t="s">
        <v>263</v>
      </c>
      <c r="M93" s="13" t="s">
        <v>347</v>
      </c>
      <c r="N93" s="14"/>
    </row>
    <row r="94" customFormat="false" ht="23.85" hidden="false" customHeight="false" outlineLevel="0" collapsed="false">
      <c r="A94" s="13" t="s">
        <v>370</v>
      </c>
      <c r="B94" s="13" t="s">
        <v>23</v>
      </c>
      <c r="C94" s="13" t="s">
        <v>371</v>
      </c>
      <c r="D94" s="14" t="s">
        <v>48</v>
      </c>
      <c r="E94" s="14" t="s">
        <v>372</v>
      </c>
      <c r="F94" s="13" t="s">
        <v>373</v>
      </c>
      <c r="G94" s="13" t="n">
        <f aca="false">COUNTIF('Risk-Control Links'!$D$2:$D$130,A94)</f>
        <v>1</v>
      </c>
      <c r="H94" s="13" t="n">
        <f aca="false">_xlfn.MAXIFS('Risk-Control Links'!$E$2:$E$130,'Risk-Control Links'!$D$2:$D$130,A94)</f>
        <v>2</v>
      </c>
      <c r="I94" s="13" t="n">
        <f aca="false">COUNTIFS('Risk-Control Links'!$D$2:$D$130,A94,'Risk-Control Links'!$F$2:$F$130,"Weak")</f>
        <v>0</v>
      </c>
      <c r="J94" s="13" t="str">
        <f aca="false">IF(D94&lt;&gt;"Yes","Not applicable",IF(G94=0,"Not assessed",IF(I94&gt;0,"Partially implemented","Largely in place - validate")))</f>
        <v>Largely in place - validate</v>
      </c>
      <c r="K94" s="13" t="str">
        <f aca="false">IF(D94&lt;&gt;"Yes","-",IF(G94=0,"Baseline - confirm",IF(H94&gt;=12,"High",IF(I94&gt;0,"Medium","Low"))))</f>
        <v>Low</v>
      </c>
      <c r="L94" s="13" t="s">
        <v>76</v>
      </c>
      <c r="M94" s="13" t="s">
        <v>374</v>
      </c>
      <c r="N94" s="14"/>
    </row>
    <row r="95" customFormat="false" ht="15" hidden="false" customHeight="false" outlineLevel="0" collapsed="false">
      <c r="A95" s="13" t="s">
        <v>375</v>
      </c>
      <c r="B95" s="13" t="s">
        <v>23</v>
      </c>
      <c r="C95" s="13" t="s">
        <v>376</v>
      </c>
      <c r="D95" s="14" t="s">
        <v>48</v>
      </c>
      <c r="E95" s="14" t="s">
        <v>377</v>
      </c>
      <c r="F95" s="13" t="s">
        <v>378</v>
      </c>
      <c r="G95" s="13" t="n">
        <f aca="false">COUNTIF('Risk-Control Links'!$D$2:$D$130,A95)</f>
        <v>2</v>
      </c>
      <c r="H95" s="13" t="n">
        <f aca="false">_xlfn.MAXIFS('Risk-Control Links'!$E$2:$E$130,'Risk-Control Links'!$D$2:$D$130,A95)</f>
        <v>6</v>
      </c>
      <c r="I95" s="13" t="n">
        <f aca="false">COUNTIFS('Risk-Control Links'!$D$2:$D$130,A95,'Risk-Control Links'!$F$2:$F$130,"Weak")</f>
        <v>1</v>
      </c>
      <c r="J95" s="13" t="str">
        <f aca="false">IF(D95&lt;&gt;"Yes","Not applicable",IF(G95=0,"Not assessed",IF(I95&gt;0,"Partially implemented","Largely in place - validate")))</f>
        <v>Partially implemented</v>
      </c>
      <c r="K95" s="13" t="str">
        <f aca="false">IF(D95&lt;&gt;"Yes","-",IF(G95=0,"Baseline - confirm",IF(H95&gt;=12,"High",IF(I95&gt;0,"Medium","Low"))))</f>
        <v>Medium</v>
      </c>
      <c r="L95" s="13" t="s">
        <v>325</v>
      </c>
      <c r="M95" s="13" t="s">
        <v>379</v>
      </c>
      <c r="N95" s="14"/>
    </row>
    <row r="96" customFormat="false" ht="23.85" hidden="false" customHeight="false" outlineLevel="0" collapsed="false">
      <c r="A96" s="13" t="s">
        <v>380</v>
      </c>
      <c r="B96" s="13" t="s">
        <v>23</v>
      </c>
      <c r="C96" s="13" t="s">
        <v>381</v>
      </c>
      <c r="D96" s="14" t="s">
        <v>48</v>
      </c>
      <c r="E96" s="14" t="s">
        <v>49</v>
      </c>
      <c r="F96" s="13"/>
      <c r="G96" s="13" t="n">
        <f aca="false">COUNTIF('Risk-Control Links'!$D$2:$D$130,A96)</f>
        <v>0</v>
      </c>
      <c r="H96" s="13" t="n">
        <f aca="false">_xlfn.MAXIFS('Risk-Control Links'!$E$2:$E$130,'Risk-Control Links'!$D$2:$D$130,A96)</f>
        <v>0</v>
      </c>
      <c r="I96" s="13" t="n">
        <f aca="false">COUNTIFS('Risk-Control Links'!$D$2:$D$130,A96,'Risk-Control Links'!$F$2:$F$130,"Weak")</f>
        <v>0</v>
      </c>
      <c r="J96" s="13" t="str">
        <f aca="false">IF(D96&lt;&gt;"Yes","Not applicable",IF(G96=0,"Not assessed",IF(I96&gt;0,"Partially implemented","Largely in place - validate")))</f>
        <v>Not assessed</v>
      </c>
      <c r="K96" s="13" t="str">
        <f aca="false">IF(D96&lt;&gt;"Yes","-",IF(G96=0,"Baseline - confirm",IF(H96&gt;=12,"High",IF(I96&gt;0,"Medium","Low"))))</f>
        <v>Baseline - confirm</v>
      </c>
      <c r="L96" s="13"/>
      <c r="M96" s="13"/>
      <c r="N96" s="14"/>
    </row>
    <row r="97" customFormat="false" ht="23.85" hidden="false" customHeight="false" outlineLevel="0" collapsed="false">
      <c r="A97" s="13" t="s">
        <v>382</v>
      </c>
      <c r="B97" s="13" t="s">
        <v>23</v>
      </c>
      <c r="C97" s="13" t="s">
        <v>383</v>
      </c>
      <c r="D97" s="14" t="s">
        <v>48</v>
      </c>
      <c r="E97" s="14" t="s">
        <v>49</v>
      </c>
      <c r="F97" s="13"/>
      <c r="G97" s="13" t="n">
        <f aca="false">COUNTIF('Risk-Control Links'!$D$2:$D$130,A97)</f>
        <v>0</v>
      </c>
      <c r="H97" s="13" t="n">
        <f aca="false">_xlfn.MAXIFS('Risk-Control Links'!$E$2:$E$130,'Risk-Control Links'!$D$2:$D$130,A97)</f>
        <v>0</v>
      </c>
      <c r="I97" s="13" t="n">
        <f aca="false">COUNTIFS('Risk-Control Links'!$D$2:$D$130,A97,'Risk-Control Links'!$F$2:$F$130,"Weak")</f>
        <v>0</v>
      </c>
      <c r="J97" s="13" t="str">
        <f aca="false">IF(D97&lt;&gt;"Yes","Not applicable",IF(G97=0,"Not assessed",IF(I97&gt;0,"Partially implemented","Largely in place - validate")))</f>
        <v>Not assessed</v>
      </c>
      <c r="K97" s="13" t="str">
        <f aca="false">IF(D97&lt;&gt;"Yes","-",IF(G97=0,"Baseline - confirm",IF(H97&gt;=12,"High",IF(I97&gt;0,"Medium","Low"))))</f>
        <v>Baseline - confirm</v>
      </c>
      <c r="L97" s="13"/>
      <c r="M97" s="13"/>
      <c r="N97" s="14"/>
    </row>
  </sheetData>
  <autoFilter ref="A4:N97"/>
  <mergeCells count="1">
    <mergeCell ref="A2:N2"/>
  </mergeCells>
  <conditionalFormatting sqref="K5:K97">
    <cfRule type="cellIs" priority="2" operator="equal" aboveAverage="0" equalAverage="0" bottom="0" percent="0" rank="0" text="" dxfId="8">
      <formula>"High"</formula>
    </cfRule>
    <cfRule type="cellIs" priority="3" operator="equal" aboveAverage="0" equalAverage="0" bottom="0" percent="0" rank="0" text="" dxfId="9">
      <formula>"Medium"</formula>
    </cfRule>
    <cfRule type="cellIs" priority="4" operator="equal" aboveAverage="0" equalAverage="0" bottom="0" percent="0" rank="0" text="" dxfId="10">
      <formula>"Low"</formula>
    </cfRule>
    <cfRule type="expression" priority="5" aboveAverage="0" equalAverage="0" bottom="0" percent="0" rank="0" text="" dxfId="11">
      <formula>LEFT(K5,8)="Baseline"</formula>
    </cfRule>
  </conditionalFormatting>
  <conditionalFormatting sqref="J5:J97">
    <cfRule type="cellIs" priority="6" operator="equal" aboveAverage="0" equalAverage="0" bottom="0" percent="0" rank="0" text="" dxfId="9">
      <formula>"Partially implemented"</formula>
    </cfRule>
  </conditionalFormatting>
  <dataValidations count="1">
    <dataValidation allowBlank="false" errorStyle="stop" operator="between" showDropDown="false" showErrorMessage="false" showInputMessage="false" sqref="D5:D9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8"/>
    <col collapsed="false" customWidth="true" hidden="false" outlineLevel="0" max="3" min="3" style="0" width="30"/>
    <col collapsed="false" customWidth="true" hidden="false" outlineLevel="0" max="4" min="4" style="0" width="14"/>
    <col collapsed="false" customWidth="true" hidden="false" outlineLevel="0" max="5" min="5" style="0" width="10"/>
    <col collapsed="false" customWidth="true" hidden="false" outlineLevel="0" max="6" min="6" style="0" width="14"/>
    <col collapsed="false" customWidth="true" hidden="false" outlineLevel="0" max="7" min="7" style="0" width="12"/>
    <col collapsed="false" customWidth="true" hidden="false" outlineLevel="0" max="8" min="8" style="0" width="70"/>
    <col collapsed="false" customWidth="true" hidden="false" outlineLevel="0" max="9" min="9" style="0" width="32"/>
  </cols>
  <sheetData>
    <row r="1" customFormat="false" ht="31.5" hidden="false" customHeight="true" outlineLevel="0" collapsed="false">
      <c r="A1" s="12" t="s">
        <v>384</v>
      </c>
      <c r="B1" s="12" t="s">
        <v>385</v>
      </c>
      <c r="C1" s="12" t="s">
        <v>386</v>
      </c>
      <c r="D1" s="12" t="s">
        <v>387</v>
      </c>
      <c r="E1" s="12" t="s">
        <v>388</v>
      </c>
      <c r="F1" s="12" t="s">
        <v>389</v>
      </c>
      <c r="G1" s="12" t="s">
        <v>390</v>
      </c>
      <c r="H1" s="12" t="s">
        <v>391</v>
      </c>
      <c r="I1" s="12" t="s">
        <v>392</v>
      </c>
    </row>
    <row r="2" customFormat="false" ht="23.85" hidden="false" customHeight="false" outlineLevel="0" collapsed="false">
      <c r="A2" s="13" t="s">
        <v>393</v>
      </c>
      <c r="B2" s="13" t="s">
        <v>394</v>
      </c>
      <c r="C2" s="13" t="s">
        <v>395</v>
      </c>
      <c r="D2" s="13" t="s">
        <v>292</v>
      </c>
      <c r="E2" s="13" t="n">
        <v>9</v>
      </c>
      <c r="F2" s="13" t="s">
        <v>396</v>
      </c>
      <c r="G2" s="13" t="s">
        <v>48</v>
      </c>
      <c r="H2" s="13" t="s">
        <v>397</v>
      </c>
      <c r="I2" s="13" t="s">
        <v>68</v>
      </c>
    </row>
    <row r="3" customFormat="false" ht="23.85" hidden="false" customHeight="false" outlineLevel="0" collapsed="false">
      <c r="A3" s="13" t="s">
        <v>398</v>
      </c>
      <c r="B3" s="13" t="s">
        <v>399</v>
      </c>
      <c r="C3" s="13" t="s">
        <v>400</v>
      </c>
      <c r="D3" s="13" t="s">
        <v>52</v>
      </c>
      <c r="E3" s="13" t="n">
        <v>6</v>
      </c>
      <c r="F3" s="13" t="s">
        <v>396</v>
      </c>
      <c r="G3" s="13" t="s">
        <v>48</v>
      </c>
      <c r="H3" s="13" t="s">
        <v>401</v>
      </c>
      <c r="I3" s="13" t="s">
        <v>56</v>
      </c>
    </row>
    <row r="4" customFormat="false" ht="23.85" hidden="false" customHeight="false" outlineLevel="0" collapsed="false">
      <c r="A4" s="13" t="s">
        <v>398</v>
      </c>
      <c r="B4" s="13" t="s">
        <v>399</v>
      </c>
      <c r="C4" s="13" t="s">
        <v>400</v>
      </c>
      <c r="D4" s="13" t="s">
        <v>194</v>
      </c>
      <c r="E4" s="13" t="n">
        <v>6</v>
      </c>
      <c r="F4" s="13" t="s">
        <v>396</v>
      </c>
      <c r="G4" s="13" t="s">
        <v>48</v>
      </c>
      <c r="H4" s="13" t="s">
        <v>401</v>
      </c>
      <c r="I4" s="13" t="s">
        <v>56</v>
      </c>
    </row>
    <row r="5" customFormat="false" ht="23.85" hidden="false" customHeight="false" outlineLevel="0" collapsed="false">
      <c r="A5" s="13" t="s">
        <v>402</v>
      </c>
      <c r="B5" s="13" t="s">
        <v>403</v>
      </c>
      <c r="C5" s="13" t="s">
        <v>404</v>
      </c>
      <c r="D5" s="13" t="s">
        <v>331</v>
      </c>
      <c r="E5" s="13" t="n">
        <v>12</v>
      </c>
      <c r="F5" s="13" t="s">
        <v>405</v>
      </c>
      <c r="G5" s="13" t="s">
        <v>406</v>
      </c>
      <c r="H5" s="13" t="s">
        <v>407</v>
      </c>
      <c r="I5" s="13" t="s">
        <v>68</v>
      </c>
    </row>
    <row r="6" customFormat="false" ht="23.85" hidden="false" customHeight="false" outlineLevel="0" collapsed="false">
      <c r="A6" s="13" t="s">
        <v>408</v>
      </c>
      <c r="B6" s="13" t="s">
        <v>409</v>
      </c>
      <c r="C6" s="13" t="s">
        <v>400</v>
      </c>
      <c r="D6" s="13" t="s">
        <v>194</v>
      </c>
      <c r="E6" s="13" t="n">
        <v>9</v>
      </c>
      <c r="F6" s="13" t="s">
        <v>396</v>
      </c>
      <c r="G6" s="13" t="s">
        <v>48</v>
      </c>
      <c r="H6" s="13" t="s">
        <v>410</v>
      </c>
      <c r="I6" s="13" t="s">
        <v>68</v>
      </c>
    </row>
    <row r="7" customFormat="false" ht="23.85" hidden="false" customHeight="false" outlineLevel="0" collapsed="false">
      <c r="A7" s="13" t="s">
        <v>408</v>
      </c>
      <c r="B7" s="13" t="s">
        <v>409</v>
      </c>
      <c r="C7" s="13" t="s">
        <v>400</v>
      </c>
      <c r="D7" s="13" t="s">
        <v>211</v>
      </c>
      <c r="E7" s="13" t="n">
        <v>9</v>
      </c>
      <c r="F7" s="13" t="s">
        <v>396</v>
      </c>
      <c r="G7" s="13" t="s">
        <v>48</v>
      </c>
      <c r="H7" s="13" t="s">
        <v>410</v>
      </c>
      <c r="I7" s="13" t="s">
        <v>68</v>
      </c>
    </row>
    <row r="8" customFormat="false" ht="23.85" hidden="false" customHeight="false" outlineLevel="0" collapsed="false">
      <c r="A8" s="13" t="s">
        <v>408</v>
      </c>
      <c r="B8" s="13" t="s">
        <v>409</v>
      </c>
      <c r="C8" s="13" t="s">
        <v>400</v>
      </c>
      <c r="D8" s="13" t="s">
        <v>265</v>
      </c>
      <c r="E8" s="13" t="n">
        <v>9</v>
      </c>
      <c r="F8" s="13" t="s">
        <v>396</v>
      </c>
      <c r="G8" s="13" t="s">
        <v>48</v>
      </c>
      <c r="H8" s="13" t="s">
        <v>410</v>
      </c>
      <c r="I8" s="13" t="s">
        <v>68</v>
      </c>
    </row>
    <row r="9" customFormat="false" ht="23.85" hidden="false" customHeight="false" outlineLevel="0" collapsed="false">
      <c r="A9" s="13" t="s">
        <v>411</v>
      </c>
      <c r="B9" s="13" t="s">
        <v>412</v>
      </c>
      <c r="C9" s="13" t="s">
        <v>413</v>
      </c>
      <c r="D9" s="13" t="s">
        <v>211</v>
      </c>
      <c r="E9" s="13" t="n">
        <v>6</v>
      </c>
      <c r="F9" s="13" t="s">
        <v>396</v>
      </c>
      <c r="G9" s="13" t="s">
        <v>48</v>
      </c>
      <c r="H9" s="13" t="s">
        <v>414</v>
      </c>
      <c r="I9" s="13" t="s">
        <v>76</v>
      </c>
    </row>
    <row r="10" customFormat="false" ht="23.85" hidden="false" customHeight="false" outlineLevel="0" collapsed="false">
      <c r="A10" s="13" t="s">
        <v>411</v>
      </c>
      <c r="B10" s="13" t="s">
        <v>412</v>
      </c>
      <c r="C10" s="13" t="s">
        <v>413</v>
      </c>
      <c r="D10" s="13" t="s">
        <v>233</v>
      </c>
      <c r="E10" s="13" t="n">
        <v>6</v>
      </c>
      <c r="F10" s="13" t="s">
        <v>396</v>
      </c>
      <c r="G10" s="13" t="s">
        <v>48</v>
      </c>
      <c r="H10" s="13" t="s">
        <v>414</v>
      </c>
      <c r="I10" s="13" t="s">
        <v>76</v>
      </c>
    </row>
    <row r="11" customFormat="false" ht="23.85" hidden="false" customHeight="false" outlineLevel="0" collapsed="false">
      <c r="A11" s="13" t="s">
        <v>411</v>
      </c>
      <c r="B11" s="13" t="s">
        <v>412</v>
      </c>
      <c r="C11" s="13" t="s">
        <v>413</v>
      </c>
      <c r="D11" s="13" t="s">
        <v>248</v>
      </c>
      <c r="E11" s="13" t="n">
        <v>6</v>
      </c>
      <c r="F11" s="13" t="s">
        <v>396</v>
      </c>
      <c r="G11" s="13" t="s">
        <v>48</v>
      </c>
      <c r="H11" s="13" t="s">
        <v>414</v>
      </c>
      <c r="I11" s="13" t="s">
        <v>76</v>
      </c>
    </row>
    <row r="12" customFormat="false" ht="23.85" hidden="false" customHeight="false" outlineLevel="0" collapsed="false">
      <c r="A12" s="13" t="s">
        <v>415</v>
      </c>
      <c r="B12" s="13" t="s">
        <v>416</v>
      </c>
      <c r="C12" s="13" t="s">
        <v>400</v>
      </c>
      <c r="D12" s="13" t="s">
        <v>113</v>
      </c>
      <c r="E12" s="13" t="n">
        <v>8</v>
      </c>
      <c r="F12" s="13" t="s">
        <v>396</v>
      </c>
      <c r="G12" s="13" t="s">
        <v>48</v>
      </c>
      <c r="H12" s="13" t="s">
        <v>417</v>
      </c>
      <c r="I12" s="13" t="s">
        <v>68</v>
      </c>
    </row>
    <row r="13" customFormat="false" ht="23.85" hidden="false" customHeight="false" outlineLevel="0" collapsed="false">
      <c r="A13" s="13" t="s">
        <v>415</v>
      </c>
      <c r="B13" s="13" t="s">
        <v>416</v>
      </c>
      <c r="C13" s="13" t="s">
        <v>400</v>
      </c>
      <c r="D13" s="13" t="s">
        <v>253</v>
      </c>
      <c r="E13" s="13" t="n">
        <v>8</v>
      </c>
      <c r="F13" s="13" t="s">
        <v>396</v>
      </c>
      <c r="G13" s="13" t="s">
        <v>48</v>
      </c>
      <c r="H13" s="13" t="s">
        <v>417</v>
      </c>
      <c r="I13" s="13" t="s">
        <v>68</v>
      </c>
    </row>
    <row r="14" customFormat="false" ht="23.85" hidden="false" customHeight="false" outlineLevel="0" collapsed="false">
      <c r="A14" s="13" t="s">
        <v>418</v>
      </c>
      <c r="B14" s="13" t="s">
        <v>419</v>
      </c>
      <c r="C14" s="13" t="s">
        <v>400</v>
      </c>
      <c r="D14" s="13" t="s">
        <v>265</v>
      </c>
      <c r="E14" s="13" t="n">
        <v>6</v>
      </c>
      <c r="F14" s="13" t="s">
        <v>396</v>
      </c>
      <c r="G14" s="13" t="s">
        <v>48</v>
      </c>
      <c r="H14" s="13" t="s">
        <v>420</v>
      </c>
      <c r="I14" s="13" t="s">
        <v>421</v>
      </c>
    </row>
    <row r="15" customFormat="false" ht="23.85" hidden="false" customHeight="false" outlineLevel="0" collapsed="false">
      <c r="A15" s="13" t="s">
        <v>422</v>
      </c>
      <c r="B15" s="13" t="s">
        <v>423</v>
      </c>
      <c r="C15" s="13" t="s">
        <v>400</v>
      </c>
      <c r="D15" s="13" t="s">
        <v>103</v>
      </c>
      <c r="E15" s="13" t="n">
        <v>6</v>
      </c>
      <c r="F15" s="13" t="s">
        <v>405</v>
      </c>
      <c r="G15" s="13" t="s">
        <v>48</v>
      </c>
      <c r="H15" s="13" t="s">
        <v>424</v>
      </c>
      <c r="I15" s="13" t="s">
        <v>76</v>
      </c>
    </row>
    <row r="16" customFormat="false" ht="23.85" hidden="false" customHeight="false" outlineLevel="0" collapsed="false">
      <c r="A16" s="13" t="s">
        <v>422</v>
      </c>
      <c r="B16" s="13" t="s">
        <v>423</v>
      </c>
      <c r="C16" s="13" t="s">
        <v>400</v>
      </c>
      <c r="D16" s="13" t="s">
        <v>113</v>
      </c>
      <c r="E16" s="13" t="n">
        <v>6</v>
      </c>
      <c r="F16" s="13" t="s">
        <v>405</v>
      </c>
      <c r="G16" s="13" t="s">
        <v>48</v>
      </c>
      <c r="H16" s="13" t="s">
        <v>424</v>
      </c>
      <c r="I16" s="13" t="s">
        <v>76</v>
      </c>
    </row>
    <row r="17" customFormat="false" ht="23.85" hidden="false" customHeight="false" outlineLevel="0" collapsed="false">
      <c r="A17" s="13" t="s">
        <v>422</v>
      </c>
      <c r="B17" s="13" t="s">
        <v>423</v>
      </c>
      <c r="C17" s="13" t="s">
        <v>400</v>
      </c>
      <c r="D17" s="13" t="s">
        <v>201</v>
      </c>
      <c r="E17" s="13" t="n">
        <v>6</v>
      </c>
      <c r="F17" s="13" t="s">
        <v>405</v>
      </c>
      <c r="G17" s="13" t="s">
        <v>48</v>
      </c>
      <c r="H17" s="13" t="s">
        <v>424</v>
      </c>
      <c r="I17" s="13" t="s">
        <v>76</v>
      </c>
    </row>
    <row r="18" customFormat="false" ht="15" hidden="false" customHeight="false" outlineLevel="0" collapsed="false">
      <c r="A18" s="13" t="s">
        <v>425</v>
      </c>
      <c r="B18" s="13" t="s">
        <v>426</v>
      </c>
      <c r="C18" s="13" t="s">
        <v>400</v>
      </c>
      <c r="D18" s="13" t="s">
        <v>52</v>
      </c>
      <c r="E18" s="13" t="n">
        <v>6</v>
      </c>
      <c r="F18" s="13" t="s">
        <v>396</v>
      </c>
      <c r="G18" s="13" t="s">
        <v>48</v>
      </c>
      <c r="H18" s="13" t="s">
        <v>427</v>
      </c>
      <c r="I18" s="13" t="s">
        <v>56</v>
      </c>
    </row>
    <row r="19" customFormat="false" ht="15" hidden="false" customHeight="false" outlineLevel="0" collapsed="false">
      <c r="A19" s="13" t="s">
        <v>425</v>
      </c>
      <c r="B19" s="13" t="s">
        <v>426</v>
      </c>
      <c r="C19" s="13" t="s">
        <v>400</v>
      </c>
      <c r="D19" s="13" t="s">
        <v>98</v>
      </c>
      <c r="E19" s="13" t="n">
        <v>6</v>
      </c>
      <c r="F19" s="13" t="s">
        <v>396</v>
      </c>
      <c r="G19" s="13" t="s">
        <v>48</v>
      </c>
      <c r="H19" s="13" t="s">
        <v>427</v>
      </c>
      <c r="I19" s="13" t="s">
        <v>56</v>
      </c>
    </row>
    <row r="20" customFormat="false" ht="15" hidden="false" customHeight="false" outlineLevel="0" collapsed="false">
      <c r="A20" s="13" t="s">
        <v>425</v>
      </c>
      <c r="B20" s="13" t="s">
        <v>426</v>
      </c>
      <c r="C20" s="13" t="s">
        <v>400</v>
      </c>
      <c r="D20" s="13" t="s">
        <v>113</v>
      </c>
      <c r="E20" s="13" t="n">
        <v>6</v>
      </c>
      <c r="F20" s="13" t="s">
        <v>396</v>
      </c>
      <c r="G20" s="13" t="s">
        <v>48</v>
      </c>
      <c r="H20" s="13" t="s">
        <v>427</v>
      </c>
      <c r="I20" s="13" t="s">
        <v>56</v>
      </c>
    </row>
    <row r="21" customFormat="false" ht="15" hidden="false" customHeight="false" outlineLevel="0" collapsed="false">
      <c r="A21" s="13" t="s">
        <v>428</v>
      </c>
      <c r="B21" s="13" t="s">
        <v>429</v>
      </c>
      <c r="C21" s="13" t="s">
        <v>400</v>
      </c>
      <c r="D21" s="13" t="s">
        <v>108</v>
      </c>
      <c r="E21" s="13" t="n">
        <v>9</v>
      </c>
      <c r="F21" s="13" t="s">
        <v>405</v>
      </c>
      <c r="G21" s="13" t="s">
        <v>48</v>
      </c>
      <c r="H21" s="13" t="s">
        <v>430</v>
      </c>
      <c r="I21" s="13" t="s">
        <v>68</v>
      </c>
    </row>
    <row r="22" customFormat="false" ht="15" hidden="false" customHeight="false" outlineLevel="0" collapsed="false">
      <c r="A22" s="13" t="s">
        <v>428</v>
      </c>
      <c r="B22" s="13" t="s">
        <v>429</v>
      </c>
      <c r="C22" s="13" t="s">
        <v>400</v>
      </c>
      <c r="D22" s="13" t="s">
        <v>253</v>
      </c>
      <c r="E22" s="13" t="n">
        <v>9</v>
      </c>
      <c r="F22" s="13" t="s">
        <v>405</v>
      </c>
      <c r="G22" s="13" t="s">
        <v>48</v>
      </c>
      <c r="H22" s="13" t="s">
        <v>430</v>
      </c>
      <c r="I22" s="13" t="s">
        <v>68</v>
      </c>
    </row>
    <row r="23" customFormat="false" ht="23.85" hidden="false" customHeight="false" outlineLevel="0" collapsed="false">
      <c r="A23" s="13" t="s">
        <v>431</v>
      </c>
      <c r="B23" s="13" t="s">
        <v>432</v>
      </c>
      <c r="C23" s="13" t="s">
        <v>400</v>
      </c>
      <c r="D23" s="13" t="s">
        <v>265</v>
      </c>
      <c r="E23" s="13" t="n">
        <v>6</v>
      </c>
      <c r="F23" s="13" t="s">
        <v>396</v>
      </c>
      <c r="G23" s="13" t="s">
        <v>48</v>
      </c>
      <c r="H23" s="13" t="s">
        <v>433</v>
      </c>
      <c r="I23" s="13" t="s">
        <v>352</v>
      </c>
    </row>
    <row r="24" customFormat="false" ht="23.85" hidden="false" customHeight="false" outlineLevel="0" collapsed="false">
      <c r="A24" s="13" t="s">
        <v>431</v>
      </c>
      <c r="B24" s="13" t="s">
        <v>432</v>
      </c>
      <c r="C24" s="13" t="s">
        <v>400</v>
      </c>
      <c r="D24" s="13" t="s">
        <v>321</v>
      </c>
      <c r="E24" s="13" t="n">
        <v>6</v>
      </c>
      <c r="F24" s="13" t="s">
        <v>396</v>
      </c>
      <c r="G24" s="13" t="s">
        <v>48</v>
      </c>
      <c r="H24" s="13" t="s">
        <v>433</v>
      </c>
      <c r="I24" s="13" t="s">
        <v>352</v>
      </c>
    </row>
    <row r="25" customFormat="false" ht="23.85" hidden="false" customHeight="false" outlineLevel="0" collapsed="false">
      <c r="A25" s="13" t="s">
        <v>434</v>
      </c>
      <c r="B25" s="13" t="s">
        <v>435</v>
      </c>
      <c r="C25" s="13" t="s">
        <v>400</v>
      </c>
      <c r="D25" s="13" t="s">
        <v>103</v>
      </c>
      <c r="E25" s="13" t="n">
        <v>6</v>
      </c>
      <c r="F25" s="13" t="s">
        <v>405</v>
      </c>
      <c r="G25" s="13" t="s">
        <v>48</v>
      </c>
      <c r="H25" s="13" t="s">
        <v>436</v>
      </c>
      <c r="I25" s="13" t="s">
        <v>437</v>
      </c>
    </row>
    <row r="26" customFormat="false" ht="23.85" hidden="false" customHeight="false" outlineLevel="0" collapsed="false">
      <c r="A26" s="13" t="s">
        <v>434</v>
      </c>
      <c r="B26" s="13" t="s">
        <v>435</v>
      </c>
      <c r="C26" s="13" t="s">
        <v>400</v>
      </c>
      <c r="D26" s="13" t="s">
        <v>113</v>
      </c>
      <c r="E26" s="13" t="n">
        <v>6</v>
      </c>
      <c r="F26" s="13" t="s">
        <v>405</v>
      </c>
      <c r="G26" s="13" t="s">
        <v>48</v>
      </c>
      <c r="H26" s="13" t="s">
        <v>436</v>
      </c>
      <c r="I26" s="13" t="s">
        <v>437</v>
      </c>
    </row>
    <row r="27" customFormat="false" ht="15" hidden="false" customHeight="false" outlineLevel="0" collapsed="false">
      <c r="A27" s="13" t="s">
        <v>438</v>
      </c>
      <c r="B27" s="13" t="s">
        <v>439</v>
      </c>
      <c r="C27" s="13" t="s">
        <v>400</v>
      </c>
      <c r="D27" s="13" t="s">
        <v>248</v>
      </c>
      <c r="E27" s="13" t="n">
        <v>8</v>
      </c>
      <c r="F27" s="13" t="s">
        <v>396</v>
      </c>
      <c r="G27" s="13" t="s">
        <v>48</v>
      </c>
      <c r="H27" s="13" t="s">
        <v>440</v>
      </c>
      <c r="I27" s="13" t="s">
        <v>68</v>
      </c>
    </row>
    <row r="28" customFormat="false" ht="15" hidden="false" customHeight="false" outlineLevel="0" collapsed="false">
      <c r="A28" s="13" t="s">
        <v>438</v>
      </c>
      <c r="B28" s="13" t="s">
        <v>439</v>
      </c>
      <c r="C28" s="13" t="s">
        <v>400</v>
      </c>
      <c r="D28" s="13" t="s">
        <v>265</v>
      </c>
      <c r="E28" s="13" t="n">
        <v>8</v>
      </c>
      <c r="F28" s="13" t="s">
        <v>396</v>
      </c>
      <c r="G28" s="13" t="s">
        <v>48</v>
      </c>
      <c r="H28" s="13" t="s">
        <v>440</v>
      </c>
      <c r="I28" s="13" t="s">
        <v>68</v>
      </c>
    </row>
    <row r="29" customFormat="false" ht="15" hidden="false" customHeight="false" outlineLevel="0" collapsed="false">
      <c r="A29" s="13" t="s">
        <v>438</v>
      </c>
      <c r="B29" s="13" t="s">
        <v>439</v>
      </c>
      <c r="C29" s="13" t="s">
        <v>400</v>
      </c>
      <c r="D29" s="13" t="s">
        <v>274</v>
      </c>
      <c r="E29" s="13" t="n">
        <v>8</v>
      </c>
      <c r="F29" s="13" t="s">
        <v>396</v>
      </c>
      <c r="G29" s="13" t="s">
        <v>48</v>
      </c>
      <c r="H29" s="13" t="s">
        <v>440</v>
      </c>
      <c r="I29" s="13" t="s">
        <v>68</v>
      </c>
    </row>
    <row r="30" customFormat="false" ht="15" hidden="false" customHeight="false" outlineLevel="0" collapsed="false">
      <c r="A30" s="13" t="s">
        <v>441</v>
      </c>
      <c r="B30" s="13" t="s">
        <v>442</v>
      </c>
      <c r="C30" s="13" t="s">
        <v>443</v>
      </c>
      <c r="D30" s="13" t="s">
        <v>278</v>
      </c>
      <c r="E30" s="13" t="n">
        <v>12</v>
      </c>
      <c r="F30" s="13" t="s">
        <v>405</v>
      </c>
      <c r="G30" s="13" t="s">
        <v>406</v>
      </c>
      <c r="H30" s="13" t="s">
        <v>444</v>
      </c>
      <c r="I30" s="13" t="s">
        <v>282</v>
      </c>
    </row>
    <row r="31" customFormat="false" ht="15" hidden="false" customHeight="false" outlineLevel="0" collapsed="false">
      <c r="A31" s="13" t="s">
        <v>441</v>
      </c>
      <c r="B31" s="13" t="s">
        <v>442</v>
      </c>
      <c r="C31" s="13" t="s">
        <v>443</v>
      </c>
      <c r="D31" s="13" t="s">
        <v>284</v>
      </c>
      <c r="E31" s="13" t="n">
        <v>12</v>
      </c>
      <c r="F31" s="13" t="s">
        <v>405</v>
      </c>
      <c r="G31" s="13" t="s">
        <v>406</v>
      </c>
      <c r="H31" s="13" t="s">
        <v>444</v>
      </c>
      <c r="I31" s="13" t="s">
        <v>282</v>
      </c>
    </row>
    <row r="32" customFormat="false" ht="15" hidden="false" customHeight="false" outlineLevel="0" collapsed="false">
      <c r="A32" s="13" t="s">
        <v>445</v>
      </c>
      <c r="B32" s="13" t="s">
        <v>446</v>
      </c>
      <c r="C32" s="13" t="s">
        <v>443</v>
      </c>
      <c r="D32" s="13" t="s">
        <v>278</v>
      </c>
      <c r="E32" s="13" t="n">
        <v>12</v>
      </c>
      <c r="F32" s="13" t="s">
        <v>396</v>
      </c>
      <c r="G32" s="13" t="s">
        <v>406</v>
      </c>
      <c r="H32" s="13" t="s">
        <v>447</v>
      </c>
      <c r="I32" s="13" t="s">
        <v>68</v>
      </c>
    </row>
    <row r="33" customFormat="false" ht="15" hidden="false" customHeight="false" outlineLevel="0" collapsed="false">
      <c r="A33" s="13" t="s">
        <v>445</v>
      </c>
      <c r="B33" s="13" t="s">
        <v>446</v>
      </c>
      <c r="C33" s="13" t="s">
        <v>443</v>
      </c>
      <c r="D33" s="13" t="s">
        <v>321</v>
      </c>
      <c r="E33" s="13" t="n">
        <v>12</v>
      </c>
      <c r="F33" s="13" t="s">
        <v>396</v>
      </c>
      <c r="G33" s="13" t="s">
        <v>406</v>
      </c>
      <c r="H33" s="13" t="s">
        <v>447</v>
      </c>
      <c r="I33" s="13" t="s">
        <v>68</v>
      </c>
    </row>
    <row r="34" customFormat="false" ht="15" hidden="false" customHeight="false" outlineLevel="0" collapsed="false">
      <c r="A34" s="13" t="s">
        <v>445</v>
      </c>
      <c r="B34" s="13" t="s">
        <v>446</v>
      </c>
      <c r="C34" s="13" t="s">
        <v>443</v>
      </c>
      <c r="D34" s="13" t="s">
        <v>327</v>
      </c>
      <c r="E34" s="13" t="n">
        <v>12</v>
      </c>
      <c r="F34" s="13" t="s">
        <v>396</v>
      </c>
      <c r="G34" s="13" t="s">
        <v>406</v>
      </c>
      <c r="H34" s="13" t="s">
        <v>447</v>
      </c>
      <c r="I34" s="13" t="s">
        <v>68</v>
      </c>
    </row>
    <row r="35" customFormat="false" ht="15" hidden="false" customHeight="false" outlineLevel="0" collapsed="false">
      <c r="A35" s="13" t="s">
        <v>448</v>
      </c>
      <c r="B35" s="13" t="s">
        <v>449</v>
      </c>
      <c r="C35" s="13" t="s">
        <v>443</v>
      </c>
      <c r="D35" s="13" t="s">
        <v>72</v>
      </c>
      <c r="E35" s="13" t="n">
        <v>12</v>
      </c>
      <c r="F35" s="13" t="s">
        <v>405</v>
      </c>
      <c r="G35" s="13" t="s">
        <v>406</v>
      </c>
      <c r="H35" s="13" t="s">
        <v>450</v>
      </c>
      <c r="I35" s="13" t="s">
        <v>76</v>
      </c>
    </row>
    <row r="36" customFormat="false" ht="15" hidden="false" customHeight="false" outlineLevel="0" collapsed="false">
      <c r="A36" s="13" t="s">
        <v>448</v>
      </c>
      <c r="B36" s="13" t="s">
        <v>449</v>
      </c>
      <c r="C36" s="13" t="s">
        <v>443</v>
      </c>
      <c r="D36" s="13" t="s">
        <v>278</v>
      </c>
      <c r="E36" s="13" t="n">
        <v>12</v>
      </c>
      <c r="F36" s="13" t="s">
        <v>405</v>
      </c>
      <c r="G36" s="13" t="s">
        <v>406</v>
      </c>
      <c r="H36" s="13" t="s">
        <v>450</v>
      </c>
      <c r="I36" s="13" t="s">
        <v>76</v>
      </c>
    </row>
    <row r="37" customFormat="false" ht="23.85" hidden="false" customHeight="false" outlineLevel="0" collapsed="false">
      <c r="A37" s="13" t="s">
        <v>451</v>
      </c>
      <c r="B37" s="13" t="s">
        <v>452</v>
      </c>
      <c r="C37" s="13" t="s">
        <v>443</v>
      </c>
      <c r="D37" s="13" t="s">
        <v>321</v>
      </c>
      <c r="E37" s="13" t="n">
        <v>9</v>
      </c>
      <c r="F37" s="13" t="s">
        <v>396</v>
      </c>
      <c r="G37" s="13" t="s">
        <v>48</v>
      </c>
      <c r="H37" s="13" t="s">
        <v>453</v>
      </c>
      <c r="I37" s="13" t="s">
        <v>325</v>
      </c>
    </row>
    <row r="38" customFormat="false" ht="23.85" hidden="false" customHeight="false" outlineLevel="0" collapsed="false">
      <c r="A38" s="13" t="s">
        <v>451</v>
      </c>
      <c r="B38" s="13" t="s">
        <v>452</v>
      </c>
      <c r="C38" s="13" t="s">
        <v>443</v>
      </c>
      <c r="D38" s="13" t="s">
        <v>331</v>
      </c>
      <c r="E38" s="13" t="n">
        <v>9</v>
      </c>
      <c r="F38" s="13" t="s">
        <v>396</v>
      </c>
      <c r="G38" s="13" t="s">
        <v>48</v>
      </c>
      <c r="H38" s="13" t="s">
        <v>453</v>
      </c>
      <c r="I38" s="13" t="s">
        <v>325</v>
      </c>
    </row>
    <row r="39" customFormat="false" ht="15" hidden="false" customHeight="false" outlineLevel="0" collapsed="false">
      <c r="A39" s="13" t="s">
        <v>272</v>
      </c>
      <c r="B39" s="13" t="s">
        <v>454</v>
      </c>
      <c r="C39" s="13" t="s">
        <v>443</v>
      </c>
      <c r="D39" s="13" t="s">
        <v>269</v>
      </c>
      <c r="E39" s="13" t="n">
        <v>6</v>
      </c>
      <c r="F39" s="13" t="s">
        <v>396</v>
      </c>
      <c r="G39" s="13" t="s">
        <v>48</v>
      </c>
      <c r="H39" s="13" t="s">
        <v>455</v>
      </c>
      <c r="I39" s="13" t="s">
        <v>76</v>
      </c>
    </row>
    <row r="40" customFormat="false" ht="15" hidden="false" customHeight="false" outlineLevel="0" collapsed="false">
      <c r="A40" s="13" t="s">
        <v>272</v>
      </c>
      <c r="B40" s="13" t="s">
        <v>454</v>
      </c>
      <c r="C40" s="13" t="s">
        <v>443</v>
      </c>
      <c r="D40" s="13" t="s">
        <v>321</v>
      </c>
      <c r="E40" s="13" t="n">
        <v>6</v>
      </c>
      <c r="F40" s="13" t="s">
        <v>396</v>
      </c>
      <c r="G40" s="13" t="s">
        <v>48</v>
      </c>
      <c r="H40" s="13" t="s">
        <v>455</v>
      </c>
      <c r="I40" s="13" t="s">
        <v>76</v>
      </c>
    </row>
    <row r="41" customFormat="false" ht="15" hidden="false" customHeight="false" outlineLevel="0" collapsed="false">
      <c r="A41" s="13" t="s">
        <v>456</v>
      </c>
      <c r="B41" s="13" t="s">
        <v>457</v>
      </c>
      <c r="C41" s="13" t="s">
        <v>443</v>
      </c>
      <c r="D41" s="13" t="s">
        <v>284</v>
      </c>
      <c r="E41" s="13" t="n">
        <v>6</v>
      </c>
      <c r="F41" s="13" t="s">
        <v>405</v>
      </c>
      <c r="G41" s="13" t="s">
        <v>48</v>
      </c>
      <c r="H41" s="13" t="s">
        <v>458</v>
      </c>
      <c r="I41" s="13" t="s">
        <v>325</v>
      </c>
    </row>
    <row r="42" customFormat="false" ht="15" hidden="false" customHeight="false" outlineLevel="0" collapsed="false">
      <c r="A42" s="13" t="s">
        <v>456</v>
      </c>
      <c r="B42" s="13" t="s">
        <v>457</v>
      </c>
      <c r="C42" s="13" t="s">
        <v>443</v>
      </c>
      <c r="D42" s="13" t="s">
        <v>321</v>
      </c>
      <c r="E42" s="13" t="n">
        <v>6</v>
      </c>
      <c r="F42" s="13" t="s">
        <v>405</v>
      </c>
      <c r="G42" s="13" t="s">
        <v>48</v>
      </c>
      <c r="H42" s="13" t="s">
        <v>458</v>
      </c>
      <c r="I42" s="13" t="s">
        <v>325</v>
      </c>
    </row>
    <row r="43" customFormat="false" ht="15" hidden="false" customHeight="false" outlineLevel="0" collapsed="false">
      <c r="A43" s="13" t="s">
        <v>456</v>
      </c>
      <c r="B43" s="13" t="s">
        <v>457</v>
      </c>
      <c r="C43" s="13" t="s">
        <v>443</v>
      </c>
      <c r="D43" s="13" t="s">
        <v>375</v>
      </c>
      <c r="E43" s="13" t="n">
        <v>6</v>
      </c>
      <c r="F43" s="13" t="s">
        <v>405</v>
      </c>
      <c r="G43" s="13" t="s">
        <v>48</v>
      </c>
      <c r="H43" s="13" t="s">
        <v>458</v>
      </c>
      <c r="I43" s="13" t="s">
        <v>325</v>
      </c>
    </row>
    <row r="44" customFormat="false" ht="15" hidden="false" customHeight="false" outlineLevel="0" collapsed="false">
      <c r="A44" s="13" t="s">
        <v>459</v>
      </c>
      <c r="B44" s="13" t="s">
        <v>460</v>
      </c>
      <c r="C44" s="13" t="s">
        <v>443</v>
      </c>
      <c r="D44" s="13" t="s">
        <v>248</v>
      </c>
      <c r="E44" s="13" t="n">
        <v>6</v>
      </c>
      <c r="F44" s="13" t="s">
        <v>396</v>
      </c>
      <c r="G44" s="13" t="s">
        <v>48</v>
      </c>
      <c r="H44" s="13" t="s">
        <v>461</v>
      </c>
      <c r="I44" s="13" t="s">
        <v>282</v>
      </c>
    </row>
    <row r="45" customFormat="false" ht="15" hidden="false" customHeight="false" outlineLevel="0" collapsed="false">
      <c r="A45" s="13" t="s">
        <v>459</v>
      </c>
      <c r="B45" s="13" t="s">
        <v>460</v>
      </c>
      <c r="C45" s="13" t="s">
        <v>443</v>
      </c>
      <c r="D45" s="13" t="s">
        <v>321</v>
      </c>
      <c r="E45" s="13" t="n">
        <v>6</v>
      </c>
      <c r="F45" s="13" t="s">
        <v>396</v>
      </c>
      <c r="G45" s="13" t="s">
        <v>48</v>
      </c>
      <c r="H45" s="13" t="s">
        <v>461</v>
      </c>
      <c r="I45" s="13" t="s">
        <v>282</v>
      </c>
    </row>
    <row r="46" customFormat="false" ht="23.85" hidden="false" customHeight="false" outlineLevel="0" collapsed="false">
      <c r="A46" s="13" t="s">
        <v>462</v>
      </c>
      <c r="B46" s="13" t="s">
        <v>463</v>
      </c>
      <c r="C46" s="13" t="s">
        <v>443</v>
      </c>
      <c r="D46" s="13" t="s">
        <v>321</v>
      </c>
      <c r="E46" s="13" t="n">
        <v>4</v>
      </c>
      <c r="F46" s="13" t="s">
        <v>464</v>
      </c>
      <c r="G46" s="13" t="s">
        <v>48</v>
      </c>
      <c r="H46" s="13" t="s">
        <v>465</v>
      </c>
      <c r="I46" s="13" t="s">
        <v>325</v>
      </c>
    </row>
    <row r="47" customFormat="false" ht="23.85" hidden="false" customHeight="false" outlineLevel="0" collapsed="false">
      <c r="A47" s="13" t="s">
        <v>462</v>
      </c>
      <c r="B47" s="13" t="s">
        <v>463</v>
      </c>
      <c r="C47" s="13" t="s">
        <v>443</v>
      </c>
      <c r="D47" s="13" t="s">
        <v>327</v>
      </c>
      <c r="E47" s="13" t="n">
        <v>4</v>
      </c>
      <c r="F47" s="13" t="s">
        <v>464</v>
      </c>
      <c r="G47" s="13" t="s">
        <v>48</v>
      </c>
      <c r="H47" s="13" t="s">
        <v>465</v>
      </c>
      <c r="I47" s="13" t="s">
        <v>325</v>
      </c>
    </row>
    <row r="48" customFormat="false" ht="15" hidden="false" customHeight="false" outlineLevel="0" collapsed="false">
      <c r="A48" s="13" t="s">
        <v>466</v>
      </c>
      <c r="B48" s="13" t="s">
        <v>467</v>
      </c>
      <c r="C48" s="13" t="s">
        <v>468</v>
      </c>
      <c r="D48" s="13" t="s">
        <v>176</v>
      </c>
      <c r="E48" s="13" t="n">
        <v>8</v>
      </c>
      <c r="F48" s="13" t="s">
        <v>396</v>
      </c>
      <c r="G48" s="13" t="s">
        <v>48</v>
      </c>
      <c r="H48" s="13" t="s">
        <v>469</v>
      </c>
      <c r="I48" s="13" t="s">
        <v>342</v>
      </c>
    </row>
    <row r="49" customFormat="false" ht="15" hidden="false" customHeight="false" outlineLevel="0" collapsed="false">
      <c r="A49" s="13" t="s">
        <v>466</v>
      </c>
      <c r="B49" s="13" t="s">
        <v>467</v>
      </c>
      <c r="C49" s="13" t="s">
        <v>468</v>
      </c>
      <c r="D49" s="13" t="s">
        <v>338</v>
      </c>
      <c r="E49" s="13" t="n">
        <v>8</v>
      </c>
      <c r="F49" s="13" t="s">
        <v>396</v>
      </c>
      <c r="G49" s="13" t="s">
        <v>48</v>
      </c>
      <c r="H49" s="13" t="s">
        <v>469</v>
      </c>
      <c r="I49" s="13" t="s">
        <v>342</v>
      </c>
    </row>
    <row r="50" customFormat="false" ht="15" hidden="false" customHeight="false" outlineLevel="0" collapsed="false">
      <c r="A50" s="13" t="s">
        <v>470</v>
      </c>
      <c r="B50" s="13" t="s">
        <v>471</v>
      </c>
      <c r="C50" s="13" t="s">
        <v>468</v>
      </c>
      <c r="D50" s="13" t="s">
        <v>233</v>
      </c>
      <c r="E50" s="13" t="n">
        <v>2</v>
      </c>
      <c r="F50" s="13" t="s">
        <v>464</v>
      </c>
      <c r="G50" s="13" t="s">
        <v>48</v>
      </c>
      <c r="H50" s="13" t="s">
        <v>472</v>
      </c>
      <c r="I50" s="13" t="s">
        <v>76</v>
      </c>
    </row>
    <row r="51" customFormat="false" ht="15" hidden="false" customHeight="false" outlineLevel="0" collapsed="false">
      <c r="A51" s="13" t="s">
        <v>470</v>
      </c>
      <c r="B51" s="13" t="s">
        <v>471</v>
      </c>
      <c r="C51" s="13" t="s">
        <v>468</v>
      </c>
      <c r="D51" s="13" t="s">
        <v>248</v>
      </c>
      <c r="E51" s="13" t="n">
        <v>2</v>
      </c>
      <c r="F51" s="13" t="s">
        <v>464</v>
      </c>
      <c r="G51" s="13" t="s">
        <v>48</v>
      </c>
      <c r="H51" s="13" t="s">
        <v>472</v>
      </c>
      <c r="I51" s="13" t="s">
        <v>76</v>
      </c>
    </row>
    <row r="52" customFormat="false" ht="15" hidden="false" customHeight="false" outlineLevel="0" collapsed="false">
      <c r="A52" s="13" t="s">
        <v>470</v>
      </c>
      <c r="B52" s="13" t="s">
        <v>471</v>
      </c>
      <c r="C52" s="13" t="s">
        <v>468</v>
      </c>
      <c r="D52" s="13" t="s">
        <v>338</v>
      </c>
      <c r="E52" s="13" t="n">
        <v>2</v>
      </c>
      <c r="F52" s="13" t="s">
        <v>464</v>
      </c>
      <c r="G52" s="13" t="s">
        <v>48</v>
      </c>
      <c r="H52" s="13" t="s">
        <v>472</v>
      </c>
      <c r="I52" s="13" t="s">
        <v>76</v>
      </c>
    </row>
    <row r="53" customFormat="false" ht="15" hidden="false" customHeight="false" outlineLevel="0" collapsed="false">
      <c r="A53" s="13" t="s">
        <v>473</v>
      </c>
      <c r="B53" s="13" t="s">
        <v>474</v>
      </c>
      <c r="C53" s="13" t="s">
        <v>468</v>
      </c>
      <c r="D53" s="13" t="s">
        <v>187</v>
      </c>
      <c r="E53" s="13" t="n">
        <v>6</v>
      </c>
      <c r="F53" s="13" t="s">
        <v>396</v>
      </c>
      <c r="G53" s="13" t="s">
        <v>48</v>
      </c>
      <c r="H53" s="13" t="s">
        <v>475</v>
      </c>
      <c r="I53" s="13" t="s">
        <v>68</v>
      </c>
    </row>
    <row r="54" customFormat="false" ht="15" hidden="false" customHeight="false" outlineLevel="0" collapsed="false">
      <c r="A54" s="13" t="s">
        <v>473</v>
      </c>
      <c r="B54" s="13" t="s">
        <v>474</v>
      </c>
      <c r="C54" s="13" t="s">
        <v>468</v>
      </c>
      <c r="D54" s="13" t="s">
        <v>292</v>
      </c>
      <c r="E54" s="13" t="n">
        <v>6</v>
      </c>
      <c r="F54" s="13" t="s">
        <v>396</v>
      </c>
      <c r="G54" s="13" t="s">
        <v>48</v>
      </c>
      <c r="H54" s="13" t="s">
        <v>475</v>
      </c>
      <c r="I54" s="13" t="s">
        <v>68</v>
      </c>
    </row>
    <row r="55" customFormat="false" ht="15" hidden="false" customHeight="false" outlineLevel="0" collapsed="false">
      <c r="A55" s="13" t="s">
        <v>473</v>
      </c>
      <c r="B55" s="13" t="s">
        <v>474</v>
      </c>
      <c r="C55" s="13" t="s">
        <v>468</v>
      </c>
      <c r="D55" s="13" t="s">
        <v>311</v>
      </c>
      <c r="E55" s="13" t="n">
        <v>6</v>
      </c>
      <c r="F55" s="13" t="s">
        <v>396</v>
      </c>
      <c r="G55" s="13" t="s">
        <v>48</v>
      </c>
      <c r="H55" s="13" t="s">
        <v>475</v>
      </c>
      <c r="I55" s="13" t="s">
        <v>68</v>
      </c>
    </row>
    <row r="56" customFormat="false" ht="15" hidden="false" customHeight="false" outlineLevel="0" collapsed="false">
      <c r="A56" s="13" t="s">
        <v>88</v>
      </c>
      <c r="B56" s="13" t="s">
        <v>476</v>
      </c>
      <c r="C56" s="13" t="s">
        <v>468</v>
      </c>
      <c r="D56" s="13" t="s">
        <v>85</v>
      </c>
      <c r="E56" s="13" t="n">
        <v>9</v>
      </c>
      <c r="F56" s="13" t="s">
        <v>405</v>
      </c>
      <c r="G56" s="13" t="s">
        <v>48</v>
      </c>
      <c r="H56" s="13" t="s">
        <v>477</v>
      </c>
      <c r="I56" s="13" t="s">
        <v>89</v>
      </c>
    </row>
    <row r="57" customFormat="false" ht="15" hidden="false" customHeight="false" outlineLevel="0" collapsed="false">
      <c r="A57" s="13" t="s">
        <v>88</v>
      </c>
      <c r="B57" s="13" t="s">
        <v>476</v>
      </c>
      <c r="C57" s="13" t="s">
        <v>468</v>
      </c>
      <c r="D57" s="13" t="s">
        <v>91</v>
      </c>
      <c r="E57" s="13" t="n">
        <v>9</v>
      </c>
      <c r="F57" s="13" t="s">
        <v>405</v>
      </c>
      <c r="G57" s="13" t="s">
        <v>48</v>
      </c>
      <c r="H57" s="13" t="s">
        <v>477</v>
      </c>
      <c r="I57" s="13" t="s">
        <v>89</v>
      </c>
    </row>
    <row r="58" customFormat="false" ht="15" hidden="false" customHeight="false" outlineLevel="0" collapsed="false">
      <c r="A58" s="13" t="s">
        <v>88</v>
      </c>
      <c r="B58" s="13" t="s">
        <v>476</v>
      </c>
      <c r="C58" s="13" t="s">
        <v>468</v>
      </c>
      <c r="D58" s="13" t="s">
        <v>288</v>
      </c>
      <c r="E58" s="13" t="n">
        <v>9</v>
      </c>
      <c r="F58" s="13" t="s">
        <v>405</v>
      </c>
      <c r="G58" s="13" t="s">
        <v>48</v>
      </c>
      <c r="H58" s="13" t="s">
        <v>477</v>
      </c>
      <c r="I58" s="13" t="s">
        <v>89</v>
      </c>
    </row>
    <row r="59" customFormat="false" ht="15" hidden="false" customHeight="false" outlineLevel="0" collapsed="false">
      <c r="A59" s="13" t="s">
        <v>478</v>
      </c>
      <c r="B59" s="13" t="s">
        <v>479</v>
      </c>
      <c r="C59" s="13" t="s">
        <v>468</v>
      </c>
      <c r="D59" s="13" t="s">
        <v>166</v>
      </c>
      <c r="E59" s="13" t="n">
        <v>6</v>
      </c>
      <c r="F59" s="13" t="s">
        <v>396</v>
      </c>
      <c r="G59" s="13" t="s">
        <v>48</v>
      </c>
      <c r="H59" s="13" t="s">
        <v>480</v>
      </c>
      <c r="I59" s="13" t="s">
        <v>170</v>
      </c>
    </row>
    <row r="60" customFormat="false" ht="15" hidden="false" customHeight="false" outlineLevel="0" collapsed="false">
      <c r="A60" s="13" t="s">
        <v>478</v>
      </c>
      <c r="B60" s="13" t="s">
        <v>479</v>
      </c>
      <c r="C60" s="13" t="s">
        <v>468</v>
      </c>
      <c r="D60" s="13" t="s">
        <v>176</v>
      </c>
      <c r="E60" s="13" t="n">
        <v>6</v>
      </c>
      <c r="F60" s="13" t="s">
        <v>396</v>
      </c>
      <c r="G60" s="13" t="s">
        <v>48</v>
      </c>
      <c r="H60" s="13" t="s">
        <v>480</v>
      </c>
      <c r="I60" s="13" t="s">
        <v>170</v>
      </c>
    </row>
    <row r="61" customFormat="false" ht="15" hidden="false" customHeight="false" outlineLevel="0" collapsed="false">
      <c r="A61" s="13" t="s">
        <v>208</v>
      </c>
      <c r="B61" s="13" t="s">
        <v>481</v>
      </c>
      <c r="C61" s="13" t="s">
        <v>468</v>
      </c>
      <c r="D61" s="13" t="s">
        <v>201</v>
      </c>
      <c r="E61" s="13" t="n">
        <v>6</v>
      </c>
      <c r="F61" s="13" t="s">
        <v>396</v>
      </c>
      <c r="G61" s="13" t="s">
        <v>48</v>
      </c>
      <c r="H61" s="13" t="s">
        <v>482</v>
      </c>
      <c r="I61" s="13" t="s">
        <v>209</v>
      </c>
    </row>
    <row r="62" customFormat="false" ht="15" hidden="false" customHeight="false" outlineLevel="0" collapsed="false">
      <c r="A62" s="13" t="s">
        <v>208</v>
      </c>
      <c r="B62" s="13" t="s">
        <v>481</v>
      </c>
      <c r="C62" s="13" t="s">
        <v>468</v>
      </c>
      <c r="D62" s="13" t="s">
        <v>205</v>
      </c>
      <c r="E62" s="13" t="n">
        <v>6</v>
      </c>
      <c r="F62" s="13" t="s">
        <v>396</v>
      </c>
      <c r="G62" s="13" t="s">
        <v>48</v>
      </c>
      <c r="H62" s="13" t="s">
        <v>482</v>
      </c>
      <c r="I62" s="13" t="s">
        <v>209</v>
      </c>
    </row>
    <row r="63" customFormat="false" ht="15" hidden="false" customHeight="false" outlineLevel="0" collapsed="false">
      <c r="A63" s="13" t="s">
        <v>208</v>
      </c>
      <c r="B63" s="13" t="s">
        <v>481</v>
      </c>
      <c r="C63" s="13" t="s">
        <v>468</v>
      </c>
      <c r="D63" s="13" t="s">
        <v>292</v>
      </c>
      <c r="E63" s="13" t="n">
        <v>6</v>
      </c>
      <c r="F63" s="13" t="s">
        <v>396</v>
      </c>
      <c r="G63" s="13" t="s">
        <v>48</v>
      </c>
      <c r="H63" s="13" t="s">
        <v>482</v>
      </c>
      <c r="I63" s="13" t="s">
        <v>209</v>
      </c>
    </row>
    <row r="64" customFormat="false" ht="23.85" hidden="false" customHeight="false" outlineLevel="0" collapsed="false">
      <c r="A64" s="13" t="s">
        <v>483</v>
      </c>
      <c r="B64" s="13" t="s">
        <v>484</v>
      </c>
      <c r="C64" s="13" t="s">
        <v>468</v>
      </c>
      <c r="D64" s="13" t="s">
        <v>297</v>
      </c>
      <c r="E64" s="13" t="n">
        <v>12</v>
      </c>
      <c r="F64" s="13" t="s">
        <v>405</v>
      </c>
      <c r="G64" s="13" t="s">
        <v>406</v>
      </c>
      <c r="H64" s="13" t="s">
        <v>485</v>
      </c>
      <c r="I64" s="13" t="s">
        <v>282</v>
      </c>
    </row>
    <row r="65" customFormat="false" ht="23.85" hidden="false" customHeight="false" outlineLevel="0" collapsed="false">
      <c r="A65" s="13" t="s">
        <v>483</v>
      </c>
      <c r="B65" s="13" t="s">
        <v>484</v>
      </c>
      <c r="C65" s="13" t="s">
        <v>468</v>
      </c>
      <c r="D65" s="13" t="s">
        <v>301</v>
      </c>
      <c r="E65" s="13" t="n">
        <v>12</v>
      </c>
      <c r="F65" s="13" t="s">
        <v>405</v>
      </c>
      <c r="G65" s="13" t="s">
        <v>406</v>
      </c>
      <c r="H65" s="13" t="s">
        <v>485</v>
      </c>
      <c r="I65" s="13" t="s">
        <v>282</v>
      </c>
    </row>
    <row r="66" customFormat="false" ht="15" hidden="false" customHeight="false" outlineLevel="0" collapsed="false">
      <c r="A66" s="13" t="s">
        <v>486</v>
      </c>
      <c r="B66" s="13" t="s">
        <v>487</v>
      </c>
      <c r="C66" s="13" t="s">
        <v>468</v>
      </c>
      <c r="D66" s="13" t="s">
        <v>93</v>
      </c>
      <c r="E66" s="13" t="n">
        <v>8</v>
      </c>
      <c r="F66" s="13" t="s">
        <v>396</v>
      </c>
      <c r="G66" s="13" t="s">
        <v>48</v>
      </c>
      <c r="H66" s="13" t="s">
        <v>488</v>
      </c>
      <c r="I66" s="13" t="s">
        <v>89</v>
      </c>
    </row>
    <row r="67" customFormat="false" ht="15" hidden="false" customHeight="false" outlineLevel="0" collapsed="false">
      <c r="A67" s="13" t="s">
        <v>486</v>
      </c>
      <c r="B67" s="13" t="s">
        <v>487</v>
      </c>
      <c r="C67" s="13" t="s">
        <v>468</v>
      </c>
      <c r="D67" s="13" t="s">
        <v>194</v>
      </c>
      <c r="E67" s="13" t="n">
        <v>8</v>
      </c>
      <c r="F67" s="13" t="s">
        <v>396</v>
      </c>
      <c r="G67" s="13" t="s">
        <v>48</v>
      </c>
      <c r="H67" s="13" t="s">
        <v>488</v>
      </c>
      <c r="I67" s="13" t="s">
        <v>89</v>
      </c>
    </row>
    <row r="68" customFormat="false" ht="15" hidden="false" customHeight="false" outlineLevel="0" collapsed="false">
      <c r="A68" s="13" t="s">
        <v>486</v>
      </c>
      <c r="B68" s="13" t="s">
        <v>487</v>
      </c>
      <c r="C68" s="13" t="s">
        <v>468</v>
      </c>
      <c r="D68" s="13" t="s">
        <v>292</v>
      </c>
      <c r="E68" s="13" t="n">
        <v>8</v>
      </c>
      <c r="F68" s="13" t="s">
        <v>396</v>
      </c>
      <c r="G68" s="13" t="s">
        <v>48</v>
      </c>
      <c r="H68" s="13" t="s">
        <v>488</v>
      </c>
      <c r="I68" s="13" t="s">
        <v>89</v>
      </c>
    </row>
    <row r="69" customFormat="false" ht="15" hidden="false" customHeight="false" outlineLevel="0" collapsed="false">
      <c r="A69" s="13" t="s">
        <v>489</v>
      </c>
      <c r="B69" s="13" t="s">
        <v>490</v>
      </c>
      <c r="C69" s="13" t="s">
        <v>491</v>
      </c>
      <c r="D69" s="13" t="s">
        <v>137</v>
      </c>
      <c r="E69" s="13" t="n">
        <v>8</v>
      </c>
      <c r="F69" s="13" t="s">
        <v>396</v>
      </c>
      <c r="G69" s="13" t="s">
        <v>48</v>
      </c>
      <c r="H69" s="13" t="s">
        <v>492</v>
      </c>
      <c r="I69" s="13" t="s">
        <v>141</v>
      </c>
    </row>
    <row r="70" customFormat="false" ht="15" hidden="false" customHeight="false" outlineLevel="0" collapsed="false">
      <c r="A70" s="13" t="s">
        <v>489</v>
      </c>
      <c r="B70" s="13" t="s">
        <v>490</v>
      </c>
      <c r="C70" s="13" t="s">
        <v>491</v>
      </c>
      <c r="D70" s="13" t="s">
        <v>284</v>
      </c>
      <c r="E70" s="13" t="n">
        <v>8</v>
      </c>
      <c r="F70" s="13" t="s">
        <v>396</v>
      </c>
      <c r="G70" s="13" t="s">
        <v>48</v>
      </c>
      <c r="H70" s="13" t="s">
        <v>492</v>
      </c>
      <c r="I70" s="13" t="s">
        <v>141</v>
      </c>
    </row>
    <row r="71" customFormat="false" ht="15" hidden="false" customHeight="false" outlineLevel="0" collapsed="false">
      <c r="A71" s="13" t="s">
        <v>362</v>
      </c>
      <c r="B71" s="13" t="s">
        <v>493</v>
      </c>
      <c r="C71" s="13" t="s">
        <v>491</v>
      </c>
      <c r="D71" s="13" t="s">
        <v>343</v>
      </c>
      <c r="E71" s="13" t="n">
        <v>6</v>
      </c>
      <c r="F71" s="13" t="s">
        <v>396</v>
      </c>
      <c r="G71" s="13" t="s">
        <v>48</v>
      </c>
      <c r="H71" s="13" t="s">
        <v>494</v>
      </c>
      <c r="I71" s="13" t="s">
        <v>263</v>
      </c>
    </row>
    <row r="72" customFormat="false" ht="15" hidden="false" customHeight="false" outlineLevel="0" collapsed="false">
      <c r="A72" s="13" t="s">
        <v>362</v>
      </c>
      <c r="B72" s="13" t="s">
        <v>493</v>
      </c>
      <c r="C72" s="13" t="s">
        <v>491</v>
      </c>
      <c r="D72" s="13" t="s">
        <v>359</v>
      </c>
      <c r="E72" s="13" t="n">
        <v>6</v>
      </c>
      <c r="F72" s="13" t="s">
        <v>396</v>
      </c>
      <c r="G72" s="13" t="s">
        <v>48</v>
      </c>
      <c r="H72" s="13" t="s">
        <v>494</v>
      </c>
      <c r="I72" s="13" t="s">
        <v>263</v>
      </c>
    </row>
    <row r="73" customFormat="false" ht="15" hidden="false" customHeight="false" outlineLevel="0" collapsed="false">
      <c r="A73" s="13" t="s">
        <v>362</v>
      </c>
      <c r="B73" s="13" t="s">
        <v>493</v>
      </c>
      <c r="C73" s="13" t="s">
        <v>491</v>
      </c>
      <c r="D73" s="13" t="s">
        <v>364</v>
      </c>
      <c r="E73" s="13" t="n">
        <v>6</v>
      </c>
      <c r="F73" s="13" t="s">
        <v>396</v>
      </c>
      <c r="G73" s="13" t="s">
        <v>48</v>
      </c>
      <c r="H73" s="13" t="s">
        <v>494</v>
      </c>
      <c r="I73" s="13" t="s">
        <v>263</v>
      </c>
    </row>
    <row r="74" customFormat="false" ht="23.85" hidden="false" customHeight="false" outlineLevel="0" collapsed="false">
      <c r="A74" s="13" t="s">
        <v>369</v>
      </c>
      <c r="B74" s="13" t="s">
        <v>495</v>
      </c>
      <c r="C74" s="13" t="s">
        <v>491</v>
      </c>
      <c r="D74" s="13" t="s">
        <v>343</v>
      </c>
      <c r="E74" s="13" t="n">
        <v>12</v>
      </c>
      <c r="F74" s="13" t="s">
        <v>405</v>
      </c>
      <c r="G74" s="13" t="s">
        <v>406</v>
      </c>
      <c r="H74" s="13" t="s">
        <v>496</v>
      </c>
      <c r="I74" s="13" t="s">
        <v>263</v>
      </c>
    </row>
    <row r="75" customFormat="false" ht="23.85" hidden="false" customHeight="false" outlineLevel="0" collapsed="false">
      <c r="A75" s="13" t="s">
        <v>369</v>
      </c>
      <c r="B75" s="13" t="s">
        <v>495</v>
      </c>
      <c r="C75" s="13" t="s">
        <v>491</v>
      </c>
      <c r="D75" s="13" t="s">
        <v>366</v>
      </c>
      <c r="E75" s="13" t="n">
        <v>12</v>
      </c>
      <c r="F75" s="13" t="s">
        <v>405</v>
      </c>
      <c r="G75" s="13" t="s">
        <v>406</v>
      </c>
      <c r="H75" s="13" t="s">
        <v>496</v>
      </c>
      <c r="I75" s="13" t="s">
        <v>263</v>
      </c>
    </row>
    <row r="76" customFormat="false" ht="15" hidden="false" customHeight="false" outlineLevel="0" collapsed="false">
      <c r="A76" s="13" t="s">
        <v>262</v>
      </c>
      <c r="B76" s="13" t="s">
        <v>497</v>
      </c>
      <c r="C76" s="13" t="s">
        <v>491</v>
      </c>
      <c r="D76" s="13" t="s">
        <v>108</v>
      </c>
      <c r="E76" s="13" t="n">
        <v>9</v>
      </c>
      <c r="F76" s="13" t="s">
        <v>405</v>
      </c>
      <c r="G76" s="13" t="s">
        <v>48</v>
      </c>
      <c r="H76" s="13" t="s">
        <v>498</v>
      </c>
      <c r="I76" s="13" t="s">
        <v>263</v>
      </c>
    </row>
    <row r="77" customFormat="false" ht="15" hidden="false" customHeight="false" outlineLevel="0" collapsed="false">
      <c r="A77" s="13" t="s">
        <v>262</v>
      </c>
      <c r="B77" s="13" t="s">
        <v>497</v>
      </c>
      <c r="C77" s="13" t="s">
        <v>491</v>
      </c>
      <c r="D77" s="13" t="s">
        <v>259</v>
      </c>
      <c r="E77" s="13" t="n">
        <v>9</v>
      </c>
      <c r="F77" s="13" t="s">
        <v>405</v>
      </c>
      <c r="G77" s="13" t="s">
        <v>48</v>
      </c>
      <c r="H77" s="13" t="s">
        <v>498</v>
      </c>
      <c r="I77" s="13" t="s">
        <v>263</v>
      </c>
    </row>
    <row r="78" customFormat="false" ht="15" hidden="false" customHeight="false" outlineLevel="0" collapsed="false">
      <c r="A78" s="13" t="s">
        <v>262</v>
      </c>
      <c r="B78" s="13" t="s">
        <v>497</v>
      </c>
      <c r="C78" s="13" t="s">
        <v>491</v>
      </c>
      <c r="D78" s="13" t="s">
        <v>338</v>
      </c>
      <c r="E78" s="13" t="n">
        <v>9</v>
      </c>
      <c r="F78" s="13" t="s">
        <v>405</v>
      </c>
      <c r="G78" s="13" t="s">
        <v>48</v>
      </c>
      <c r="H78" s="13" t="s">
        <v>498</v>
      </c>
      <c r="I78" s="13" t="s">
        <v>263</v>
      </c>
    </row>
    <row r="79" customFormat="false" ht="15" hidden="false" customHeight="false" outlineLevel="0" collapsed="false">
      <c r="A79" s="13" t="s">
        <v>351</v>
      </c>
      <c r="B79" s="13" t="s">
        <v>499</v>
      </c>
      <c r="C79" s="13" t="s">
        <v>491</v>
      </c>
      <c r="D79" s="13" t="s">
        <v>321</v>
      </c>
      <c r="E79" s="13" t="n">
        <v>6</v>
      </c>
      <c r="F79" s="13" t="s">
        <v>396</v>
      </c>
      <c r="G79" s="13" t="s">
        <v>48</v>
      </c>
      <c r="H79" s="13" t="s">
        <v>500</v>
      </c>
      <c r="I79" s="13" t="s">
        <v>352</v>
      </c>
    </row>
    <row r="80" customFormat="false" ht="15" hidden="false" customHeight="false" outlineLevel="0" collapsed="false">
      <c r="A80" s="13" t="s">
        <v>351</v>
      </c>
      <c r="B80" s="13" t="s">
        <v>499</v>
      </c>
      <c r="C80" s="13" t="s">
        <v>491</v>
      </c>
      <c r="D80" s="13" t="s">
        <v>348</v>
      </c>
      <c r="E80" s="13" t="n">
        <v>6</v>
      </c>
      <c r="F80" s="13" t="s">
        <v>396</v>
      </c>
      <c r="G80" s="13" t="s">
        <v>48</v>
      </c>
      <c r="H80" s="13" t="s">
        <v>500</v>
      </c>
      <c r="I80" s="13" t="s">
        <v>352</v>
      </c>
    </row>
    <row r="81" customFormat="false" ht="15" hidden="false" customHeight="false" outlineLevel="0" collapsed="false">
      <c r="A81" s="13" t="s">
        <v>501</v>
      </c>
      <c r="B81" s="13" t="s">
        <v>502</v>
      </c>
      <c r="C81" s="13" t="s">
        <v>491</v>
      </c>
      <c r="D81" s="13" t="s">
        <v>98</v>
      </c>
      <c r="E81" s="13" t="n">
        <v>9</v>
      </c>
      <c r="F81" s="13" t="s">
        <v>396</v>
      </c>
      <c r="G81" s="13" t="s">
        <v>48</v>
      </c>
      <c r="H81" s="13" t="s">
        <v>503</v>
      </c>
      <c r="I81" s="13" t="s">
        <v>141</v>
      </c>
    </row>
    <row r="82" customFormat="false" ht="15" hidden="false" customHeight="false" outlineLevel="0" collapsed="false">
      <c r="A82" s="13" t="s">
        <v>501</v>
      </c>
      <c r="B82" s="13" t="s">
        <v>502</v>
      </c>
      <c r="C82" s="13" t="s">
        <v>491</v>
      </c>
      <c r="D82" s="13" t="s">
        <v>253</v>
      </c>
      <c r="E82" s="13" t="n">
        <v>9</v>
      </c>
      <c r="F82" s="13" t="s">
        <v>396</v>
      </c>
      <c r="G82" s="13" t="s">
        <v>48</v>
      </c>
      <c r="H82" s="13" t="s">
        <v>503</v>
      </c>
      <c r="I82" s="13" t="s">
        <v>141</v>
      </c>
    </row>
    <row r="83" customFormat="false" ht="15" hidden="false" customHeight="false" outlineLevel="0" collapsed="false">
      <c r="A83" s="13" t="s">
        <v>81</v>
      </c>
      <c r="B83" s="13" t="s">
        <v>504</v>
      </c>
      <c r="C83" s="13" t="s">
        <v>491</v>
      </c>
      <c r="D83" s="13" t="s">
        <v>72</v>
      </c>
      <c r="E83" s="13" t="n">
        <v>6</v>
      </c>
      <c r="F83" s="13" t="s">
        <v>396</v>
      </c>
      <c r="G83" s="13" t="s">
        <v>48</v>
      </c>
      <c r="H83" s="13" t="s">
        <v>505</v>
      </c>
      <c r="I83" s="13" t="s">
        <v>76</v>
      </c>
    </row>
    <row r="84" customFormat="false" ht="15" hidden="false" customHeight="false" outlineLevel="0" collapsed="false">
      <c r="A84" s="13" t="s">
        <v>81</v>
      </c>
      <c r="B84" s="13" t="s">
        <v>504</v>
      </c>
      <c r="C84" s="13" t="s">
        <v>491</v>
      </c>
      <c r="D84" s="13" t="s">
        <v>78</v>
      </c>
      <c r="E84" s="13" t="n">
        <v>6</v>
      </c>
      <c r="F84" s="13" t="s">
        <v>396</v>
      </c>
      <c r="G84" s="13" t="s">
        <v>48</v>
      </c>
      <c r="H84" s="13" t="s">
        <v>505</v>
      </c>
      <c r="I84" s="13" t="s">
        <v>76</v>
      </c>
    </row>
    <row r="85" customFormat="false" ht="15" hidden="false" customHeight="false" outlineLevel="0" collapsed="false">
      <c r="A85" s="13" t="s">
        <v>81</v>
      </c>
      <c r="B85" s="13" t="s">
        <v>504</v>
      </c>
      <c r="C85" s="13" t="s">
        <v>491</v>
      </c>
      <c r="D85" s="13" t="s">
        <v>137</v>
      </c>
      <c r="E85" s="13" t="n">
        <v>6</v>
      </c>
      <c r="F85" s="13" t="s">
        <v>396</v>
      </c>
      <c r="G85" s="13" t="s">
        <v>48</v>
      </c>
      <c r="H85" s="13" t="s">
        <v>505</v>
      </c>
      <c r="I85" s="13" t="s">
        <v>76</v>
      </c>
    </row>
    <row r="86" customFormat="false" ht="15" hidden="false" customHeight="false" outlineLevel="0" collapsed="false">
      <c r="A86" s="13" t="s">
        <v>506</v>
      </c>
      <c r="B86" s="13" t="s">
        <v>507</v>
      </c>
      <c r="C86" s="13" t="s">
        <v>491</v>
      </c>
      <c r="D86" s="13" t="s">
        <v>265</v>
      </c>
      <c r="E86" s="13" t="n">
        <v>6</v>
      </c>
      <c r="F86" s="13" t="s">
        <v>396</v>
      </c>
      <c r="G86" s="13" t="s">
        <v>48</v>
      </c>
      <c r="H86" s="13" t="s">
        <v>508</v>
      </c>
      <c r="I86" s="13" t="s">
        <v>68</v>
      </c>
    </row>
    <row r="87" customFormat="false" ht="15" hidden="false" customHeight="false" outlineLevel="0" collapsed="false">
      <c r="A87" s="13" t="s">
        <v>506</v>
      </c>
      <c r="B87" s="13" t="s">
        <v>507</v>
      </c>
      <c r="C87" s="13" t="s">
        <v>491</v>
      </c>
      <c r="D87" s="13" t="s">
        <v>284</v>
      </c>
      <c r="E87" s="13" t="n">
        <v>6</v>
      </c>
      <c r="F87" s="13" t="s">
        <v>396</v>
      </c>
      <c r="G87" s="13" t="s">
        <v>48</v>
      </c>
      <c r="H87" s="13" t="s">
        <v>508</v>
      </c>
      <c r="I87" s="13" t="s">
        <v>68</v>
      </c>
    </row>
    <row r="88" customFormat="false" ht="15" hidden="false" customHeight="false" outlineLevel="0" collapsed="false">
      <c r="A88" s="13" t="s">
        <v>506</v>
      </c>
      <c r="B88" s="13" t="s">
        <v>507</v>
      </c>
      <c r="C88" s="13" t="s">
        <v>491</v>
      </c>
      <c r="D88" s="13" t="s">
        <v>306</v>
      </c>
      <c r="E88" s="13" t="n">
        <v>6</v>
      </c>
      <c r="F88" s="13" t="s">
        <v>396</v>
      </c>
      <c r="G88" s="13" t="s">
        <v>48</v>
      </c>
      <c r="H88" s="13" t="s">
        <v>508</v>
      </c>
      <c r="I88" s="13" t="s">
        <v>68</v>
      </c>
    </row>
    <row r="89" customFormat="false" ht="15" hidden="false" customHeight="false" outlineLevel="0" collapsed="false">
      <c r="A89" s="13" t="s">
        <v>373</v>
      </c>
      <c r="B89" s="13" t="s">
        <v>509</v>
      </c>
      <c r="C89" s="13" t="s">
        <v>491</v>
      </c>
      <c r="D89" s="13" t="s">
        <v>370</v>
      </c>
      <c r="E89" s="13" t="n">
        <v>2</v>
      </c>
      <c r="F89" s="13" t="s">
        <v>464</v>
      </c>
      <c r="G89" s="13" t="s">
        <v>48</v>
      </c>
      <c r="H89" s="13" t="s">
        <v>510</v>
      </c>
      <c r="I89" s="13" t="s">
        <v>76</v>
      </c>
    </row>
    <row r="90" customFormat="false" ht="15" hidden="false" customHeight="false" outlineLevel="0" collapsed="false">
      <c r="A90" s="13" t="s">
        <v>373</v>
      </c>
      <c r="B90" s="13" t="s">
        <v>509</v>
      </c>
      <c r="C90" s="13" t="s">
        <v>491</v>
      </c>
      <c r="D90" s="13" t="s">
        <v>375</v>
      </c>
      <c r="E90" s="13" t="n">
        <v>2</v>
      </c>
      <c r="F90" s="13" t="s">
        <v>464</v>
      </c>
      <c r="G90" s="13" t="s">
        <v>48</v>
      </c>
      <c r="H90" s="13" t="s">
        <v>510</v>
      </c>
      <c r="I90" s="13" t="s">
        <v>76</v>
      </c>
    </row>
    <row r="91" customFormat="false" ht="15" hidden="false" customHeight="false" outlineLevel="0" collapsed="false">
      <c r="A91" s="13" t="s">
        <v>357</v>
      </c>
      <c r="B91" s="13" t="s">
        <v>511</v>
      </c>
      <c r="C91" s="13" t="s">
        <v>491</v>
      </c>
      <c r="D91" s="13" t="s">
        <v>284</v>
      </c>
      <c r="E91" s="13" t="n">
        <v>6</v>
      </c>
      <c r="F91" s="13" t="s">
        <v>396</v>
      </c>
      <c r="G91" s="13" t="s">
        <v>48</v>
      </c>
      <c r="H91" s="13" t="s">
        <v>512</v>
      </c>
      <c r="I91" s="13" t="s">
        <v>141</v>
      </c>
    </row>
    <row r="92" customFormat="false" ht="15" hidden="false" customHeight="false" outlineLevel="0" collapsed="false">
      <c r="A92" s="13" t="s">
        <v>357</v>
      </c>
      <c r="B92" s="13" t="s">
        <v>511</v>
      </c>
      <c r="C92" s="13" t="s">
        <v>491</v>
      </c>
      <c r="D92" s="13" t="s">
        <v>354</v>
      </c>
      <c r="E92" s="13" t="n">
        <v>6</v>
      </c>
      <c r="F92" s="13" t="s">
        <v>396</v>
      </c>
      <c r="G92" s="13" t="s">
        <v>48</v>
      </c>
      <c r="H92" s="13" t="s">
        <v>512</v>
      </c>
      <c r="I92" s="13" t="s">
        <v>141</v>
      </c>
    </row>
    <row r="93" customFormat="false" ht="15" hidden="false" customHeight="false" outlineLevel="0" collapsed="false">
      <c r="A93" s="13" t="s">
        <v>513</v>
      </c>
      <c r="B93" s="13" t="s">
        <v>514</v>
      </c>
      <c r="C93" s="13" t="s">
        <v>515</v>
      </c>
      <c r="D93" s="13" t="s">
        <v>306</v>
      </c>
      <c r="E93" s="13" t="n">
        <v>9</v>
      </c>
      <c r="F93" s="13" t="s">
        <v>405</v>
      </c>
      <c r="G93" s="13" t="s">
        <v>48</v>
      </c>
      <c r="H93" s="13" t="s">
        <v>516</v>
      </c>
      <c r="I93" s="13" t="s">
        <v>68</v>
      </c>
    </row>
    <row r="94" customFormat="false" ht="15" hidden="false" customHeight="false" outlineLevel="0" collapsed="false">
      <c r="A94" s="13" t="s">
        <v>513</v>
      </c>
      <c r="B94" s="13" t="s">
        <v>514</v>
      </c>
      <c r="C94" s="13" t="s">
        <v>515</v>
      </c>
      <c r="D94" s="13" t="s">
        <v>311</v>
      </c>
      <c r="E94" s="13" t="n">
        <v>9</v>
      </c>
      <c r="F94" s="13" t="s">
        <v>405</v>
      </c>
      <c r="G94" s="13" t="s">
        <v>48</v>
      </c>
      <c r="H94" s="13" t="s">
        <v>516</v>
      </c>
      <c r="I94" s="13" t="s">
        <v>68</v>
      </c>
    </row>
    <row r="95" customFormat="false" ht="15" hidden="false" customHeight="false" outlineLevel="0" collapsed="false">
      <c r="A95" s="13" t="s">
        <v>151</v>
      </c>
      <c r="B95" s="13" t="s">
        <v>517</v>
      </c>
      <c r="C95" s="13" t="s">
        <v>515</v>
      </c>
      <c r="D95" s="13" t="s">
        <v>143</v>
      </c>
      <c r="E95" s="13" t="n">
        <v>6</v>
      </c>
      <c r="F95" s="13" t="s">
        <v>396</v>
      </c>
      <c r="G95" s="13" t="s">
        <v>48</v>
      </c>
      <c r="H95" s="13" t="s">
        <v>518</v>
      </c>
      <c r="I95" s="13" t="s">
        <v>68</v>
      </c>
    </row>
    <row r="96" customFormat="false" ht="15" hidden="false" customHeight="false" outlineLevel="0" collapsed="false">
      <c r="A96" s="13" t="s">
        <v>151</v>
      </c>
      <c r="B96" s="13" t="s">
        <v>517</v>
      </c>
      <c r="C96" s="13" t="s">
        <v>515</v>
      </c>
      <c r="D96" s="13" t="s">
        <v>148</v>
      </c>
      <c r="E96" s="13" t="n">
        <v>6</v>
      </c>
      <c r="F96" s="13" t="s">
        <v>396</v>
      </c>
      <c r="G96" s="13" t="s">
        <v>48</v>
      </c>
      <c r="H96" s="13" t="s">
        <v>518</v>
      </c>
      <c r="I96" s="13" t="s">
        <v>68</v>
      </c>
    </row>
    <row r="97" customFormat="false" ht="15" hidden="false" customHeight="false" outlineLevel="0" collapsed="false">
      <c r="A97" s="13" t="s">
        <v>151</v>
      </c>
      <c r="B97" s="13" t="s">
        <v>517</v>
      </c>
      <c r="C97" s="13" t="s">
        <v>515</v>
      </c>
      <c r="D97" s="13" t="s">
        <v>153</v>
      </c>
      <c r="E97" s="13" t="n">
        <v>6</v>
      </c>
      <c r="F97" s="13" t="s">
        <v>396</v>
      </c>
      <c r="G97" s="13" t="s">
        <v>48</v>
      </c>
      <c r="H97" s="13" t="s">
        <v>518</v>
      </c>
      <c r="I97" s="13" t="s">
        <v>68</v>
      </c>
    </row>
    <row r="98" customFormat="false" ht="15" hidden="false" customHeight="false" outlineLevel="0" collapsed="false">
      <c r="A98" s="13" t="s">
        <v>519</v>
      </c>
      <c r="B98" s="13" t="s">
        <v>520</v>
      </c>
      <c r="C98" s="13" t="s">
        <v>515</v>
      </c>
      <c r="D98" s="13" t="s">
        <v>93</v>
      </c>
      <c r="E98" s="13" t="n">
        <v>9</v>
      </c>
      <c r="F98" s="13" t="s">
        <v>396</v>
      </c>
      <c r="G98" s="13" t="s">
        <v>48</v>
      </c>
      <c r="H98" s="13" t="s">
        <v>521</v>
      </c>
      <c r="I98" s="13" t="s">
        <v>56</v>
      </c>
    </row>
    <row r="99" customFormat="false" ht="15" hidden="false" customHeight="false" outlineLevel="0" collapsed="false">
      <c r="A99" s="13" t="s">
        <v>519</v>
      </c>
      <c r="B99" s="13" t="s">
        <v>520</v>
      </c>
      <c r="C99" s="13" t="s">
        <v>515</v>
      </c>
      <c r="D99" s="13" t="s">
        <v>194</v>
      </c>
      <c r="E99" s="13" t="n">
        <v>9</v>
      </c>
      <c r="F99" s="13" t="s">
        <v>396</v>
      </c>
      <c r="G99" s="13" t="s">
        <v>48</v>
      </c>
      <c r="H99" s="13" t="s">
        <v>521</v>
      </c>
      <c r="I99" s="13" t="s">
        <v>56</v>
      </c>
    </row>
    <row r="100" customFormat="false" ht="23.85" hidden="false" customHeight="false" outlineLevel="0" collapsed="false">
      <c r="A100" s="13" t="s">
        <v>522</v>
      </c>
      <c r="B100" s="13" t="s">
        <v>523</v>
      </c>
      <c r="C100" s="13" t="s">
        <v>515</v>
      </c>
      <c r="D100" s="13" t="s">
        <v>187</v>
      </c>
      <c r="E100" s="13" t="n">
        <v>4</v>
      </c>
      <c r="F100" s="13" t="s">
        <v>396</v>
      </c>
      <c r="G100" s="13" t="s">
        <v>48</v>
      </c>
      <c r="H100" s="13" t="s">
        <v>524</v>
      </c>
      <c r="I100" s="13" t="s">
        <v>209</v>
      </c>
    </row>
    <row r="101" customFormat="false" ht="23.85" hidden="false" customHeight="false" outlineLevel="0" collapsed="false">
      <c r="A101" s="13" t="s">
        <v>522</v>
      </c>
      <c r="B101" s="13" t="s">
        <v>523</v>
      </c>
      <c r="C101" s="13" t="s">
        <v>515</v>
      </c>
      <c r="D101" s="13" t="s">
        <v>253</v>
      </c>
      <c r="E101" s="13" t="n">
        <v>4</v>
      </c>
      <c r="F101" s="13" t="s">
        <v>396</v>
      </c>
      <c r="G101" s="13" t="s">
        <v>48</v>
      </c>
      <c r="H101" s="13" t="s">
        <v>524</v>
      </c>
      <c r="I101" s="13" t="s">
        <v>209</v>
      </c>
    </row>
    <row r="102" customFormat="false" ht="23.85" hidden="false" customHeight="false" outlineLevel="0" collapsed="false">
      <c r="A102" s="13" t="s">
        <v>522</v>
      </c>
      <c r="B102" s="13" t="s">
        <v>523</v>
      </c>
      <c r="C102" s="13" t="s">
        <v>515</v>
      </c>
      <c r="D102" s="13" t="s">
        <v>306</v>
      </c>
      <c r="E102" s="13" t="n">
        <v>4</v>
      </c>
      <c r="F102" s="13" t="s">
        <v>396</v>
      </c>
      <c r="G102" s="13" t="s">
        <v>48</v>
      </c>
      <c r="H102" s="13" t="s">
        <v>524</v>
      </c>
      <c r="I102" s="13" t="s">
        <v>209</v>
      </c>
    </row>
    <row r="103" customFormat="false" ht="23.85" hidden="false" customHeight="false" outlineLevel="0" collapsed="false">
      <c r="A103" s="13" t="s">
        <v>525</v>
      </c>
      <c r="B103" s="13" t="s">
        <v>526</v>
      </c>
      <c r="C103" s="13" t="s">
        <v>515</v>
      </c>
      <c r="D103" s="13" t="s">
        <v>143</v>
      </c>
      <c r="E103" s="13" t="n">
        <v>15</v>
      </c>
      <c r="F103" s="13" t="s">
        <v>405</v>
      </c>
      <c r="G103" s="13" t="s">
        <v>406</v>
      </c>
      <c r="H103" s="13" t="s">
        <v>527</v>
      </c>
      <c r="I103" s="13" t="s">
        <v>68</v>
      </c>
    </row>
    <row r="104" customFormat="false" ht="23.85" hidden="false" customHeight="false" outlineLevel="0" collapsed="false">
      <c r="A104" s="13" t="s">
        <v>525</v>
      </c>
      <c r="B104" s="13" t="s">
        <v>526</v>
      </c>
      <c r="C104" s="13" t="s">
        <v>515</v>
      </c>
      <c r="D104" s="13" t="s">
        <v>274</v>
      </c>
      <c r="E104" s="13" t="n">
        <v>15</v>
      </c>
      <c r="F104" s="13" t="s">
        <v>405</v>
      </c>
      <c r="G104" s="13" t="s">
        <v>406</v>
      </c>
      <c r="H104" s="13" t="s">
        <v>527</v>
      </c>
      <c r="I104" s="13" t="s">
        <v>68</v>
      </c>
    </row>
    <row r="105" customFormat="false" ht="23.85" hidden="false" customHeight="false" outlineLevel="0" collapsed="false">
      <c r="A105" s="13" t="s">
        <v>525</v>
      </c>
      <c r="B105" s="13" t="s">
        <v>526</v>
      </c>
      <c r="C105" s="13" t="s">
        <v>515</v>
      </c>
      <c r="D105" s="13" t="s">
        <v>297</v>
      </c>
      <c r="E105" s="13" t="n">
        <v>15</v>
      </c>
      <c r="F105" s="13" t="s">
        <v>405</v>
      </c>
      <c r="G105" s="13" t="s">
        <v>406</v>
      </c>
      <c r="H105" s="13" t="s">
        <v>527</v>
      </c>
      <c r="I105" s="13" t="s">
        <v>68</v>
      </c>
    </row>
    <row r="106" customFormat="false" ht="15" hidden="false" customHeight="false" outlineLevel="0" collapsed="false">
      <c r="A106" s="13" t="s">
        <v>528</v>
      </c>
      <c r="B106" s="13" t="s">
        <v>529</v>
      </c>
      <c r="C106" s="13" t="s">
        <v>515</v>
      </c>
      <c r="D106" s="13" t="s">
        <v>64</v>
      </c>
      <c r="E106" s="13" t="n">
        <v>8</v>
      </c>
      <c r="F106" s="13" t="s">
        <v>396</v>
      </c>
      <c r="G106" s="13" t="s">
        <v>48</v>
      </c>
      <c r="H106" s="13" t="s">
        <v>530</v>
      </c>
      <c r="I106" s="13" t="s">
        <v>68</v>
      </c>
    </row>
    <row r="107" customFormat="false" ht="15" hidden="false" customHeight="false" outlineLevel="0" collapsed="false">
      <c r="A107" s="13" t="s">
        <v>528</v>
      </c>
      <c r="B107" s="13" t="s">
        <v>529</v>
      </c>
      <c r="C107" s="13" t="s">
        <v>515</v>
      </c>
      <c r="D107" s="13" t="s">
        <v>311</v>
      </c>
      <c r="E107" s="13" t="n">
        <v>8</v>
      </c>
      <c r="F107" s="13" t="s">
        <v>396</v>
      </c>
      <c r="G107" s="13" t="s">
        <v>48</v>
      </c>
      <c r="H107" s="13" t="s">
        <v>530</v>
      </c>
      <c r="I107" s="13" t="s">
        <v>68</v>
      </c>
    </row>
    <row r="108" customFormat="false" ht="15" hidden="false" customHeight="false" outlineLevel="0" collapsed="false">
      <c r="A108" s="13" t="s">
        <v>531</v>
      </c>
      <c r="B108" s="13" t="s">
        <v>532</v>
      </c>
      <c r="C108" s="13" t="s">
        <v>515</v>
      </c>
      <c r="D108" s="13" t="s">
        <v>64</v>
      </c>
      <c r="E108" s="13" t="n">
        <v>4</v>
      </c>
      <c r="F108" s="13" t="s">
        <v>396</v>
      </c>
      <c r="G108" s="13" t="s">
        <v>48</v>
      </c>
      <c r="H108" s="13" t="s">
        <v>533</v>
      </c>
      <c r="I108" s="13" t="s">
        <v>534</v>
      </c>
    </row>
    <row r="109" customFormat="false" ht="15" hidden="false" customHeight="false" outlineLevel="0" collapsed="false">
      <c r="A109" s="13" t="s">
        <v>535</v>
      </c>
      <c r="B109" s="13" t="s">
        <v>536</v>
      </c>
      <c r="C109" s="13" t="s">
        <v>515</v>
      </c>
      <c r="D109" s="13" t="s">
        <v>143</v>
      </c>
      <c r="E109" s="13" t="n">
        <v>6</v>
      </c>
      <c r="F109" s="13" t="s">
        <v>396</v>
      </c>
      <c r="G109" s="13" t="s">
        <v>48</v>
      </c>
      <c r="H109" s="13" t="s">
        <v>537</v>
      </c>
      <c r="I109" s="13" t="s">
        <v>170</v>
      </c>
    </row>
    <row r="110" customFormat="false" ht="15" hidden="false" customHeight="false" outlineLevel="0" collapsed="false">
      <c r="A110" s="13" t="s">
        <v>535</v>
      </c>
      <c r="B110" s="13" t="s">
        <v>536</v>
      </c>
      <c r="C110" s="13" t="s">
        <v>515</v>
      </c>
      <c r="D110" s="13" t="s">
        <v>166</v>
      </c>
      <c r="E110" s="13" t="n">
        <v>6</v>
      </c>
      <c r="F110" s="13" t="s">
        <v>396</v>
      </c>
      <c r="G110" s="13" t="s">
        <v>48</v>
      </c>
      <c r="H110" s="13" t="s">
        <v>537</v>
      </c>
      <c r="I110" s="13" t="s">
        <v>170</v>
      </c>
    </row>
    <row r="111" customFormat="false" ht="15" hidden="false" customHeight="false" outlineLevel="0" collapsed="false">
      <c r="A111" s="13" t="s">
        <v>535</v>
      </c>
      <c r="B111" s="13" t="s">
        <v>536</v>
      </c>
      <c r="C111" s="13" t="s">
        <v>515</v>
      </c>
      <c r="D111" s="13" t="s">
        <v>176</v>
      </c>
      <c r="E111" s="13" t="n">
        <v>6</v>
      </c>
      <c r="F111" s="13" t="s">
        <v>396</v>
      </c>
      <c r="G111" s="13" t="s">
        <v>48</v>
      </c>
      <c r="H111" s="13" t="s">
        <v>537</v>
      </c>
      <c r="I111" s="13" t="s">
        <v>170</v>
      </c>
    </row>
    <row r="112" customFormat="false" ht="15" hidden="false" customHeight="false" outlineLevel="0" collapsed="false">
      <c r="A112" s="13" t="s">
        <v>538</v>
      </c>
      <c r="B112" s="13" t="s">
        <v>539</v>
      </c>
      <c r="C112" s="13" t="s">
        <v>515</v>
      </c>
      <c r="D112" s="13" t="s">
        <v>311</v>
      </c>
      <c r="E112" s="13" t="n">
        <v>6</v>
      </c>
      <c r="F112" s="13" t="s">
        <v>405</v>
      </c>
      <c r="G112" s="13" t="s">
        <v>48</v>
      </c>
      <c r="H112" s="13" t="s">
        <v>540</v>
      </c>
      <c r="I112" s="13" t="s">
        <v>534</v>
      </c>
    </row>
    <row r="113" customFormat="false" ht="23.85" hidden="false" customHeight="false" outlineLevel="0" collapsed="false">
      <c r="A113" s="13" t="s">
        <v>541</v>
      </c>
      <c r="B113" s="13" t="s">
        <v>542</v>
      </c>
      <c r="C113" s="13" t="s">
        <v>404</v>
      </c>
      <c r="D113" s="13" t="s">
        <v>118</v>
      </c>
      <c r="E113" s="13" t="n">
        <v>9</v>
      </c>
      <c r="F113" s="13" t="s">
        <v>396</v>
      </c>
      <c r="G113" s="13" t="s">
        <v>48</v>
      </c>
      <c r="H113" s="13" t="s">
        <v>543</v>
      </c>
      <c r="I113" s="13" t="s">
        <v>122</v>
      </c>
    </row>
    <row r="114" customFormat="false" ht="23.85" hidden="false" customHeight="false" outlineLevel="0" collapsed="false">
      <c r="A114" s="13" t="s">
        <v>541</v>
      </c>
      <c r="B114" s="13" t="s">
        <v>542</v>
      </c>
      <c r="C114" s="13" t="s">
        <v>404</v>
      </c>
      <c r="D114" s="13" t="s">
        <v>124</v>
      </c>
      <c r="E114" s="13" t="n">
        <v>9</v>
      </c>
      <c r="F114" s="13" t="s">
        <v>396</v>
      </c>
      <c r="G114" s="13" t="s">
        <v>48</v>
      </c>
      <c r="H114" s="13" t="s">
        <v>543</v>
      </c>
      <c r="I114" s="13" t="s">
        <v>122</v>
      </c>
    </row>
    <row r="115" customFormat="false" ht="23.85" hidden="false" customHeight="false" outlineLevel="0" collapsed="false">
      <c r="A115" s="13" t="s">
        <v>541</v>
      </c>
      <c r="B115" s="13" t="s">
        <v>542</v>
      </c>
      <c r="C115" s="13" t="s">
        <v>404</v>
      </c>
      <c r="D115" s="13" t="s">
        <v>133</v>
      </c>
      <c r="E115" s="13" t="n">
        <v>9</v>
      </c>
      <c r="F115" s="13" t="s">
        <v>396</v>
      </c>
      <c r="G115" s="13" t="s">
        <v>48</v>
      </c>
      <c r="H115" s="13" t="s">
        <v>543</v>
      </c>
      <c r="I115" s="13" t="s">
        <v>122</v>
      </c>
    </row>
    <row r="116" customFormat="false" ht="15" hidden="false" customHeight="false" outlineLevel="0" collapsed="false">
      <c r="A116" s="13" t="s">
        <v>544</v>
      </c>
      <c r="B116" s="13" t="s">
        <v>545</v>
      </c>
      <c r="C116" s="13" t="s">
        <v>404</v>
      </c>
      <c r="D116" s="13" t="s">
        <v>128</v>
      </c>
      <c r="E116" s="13" t="n">
        <v>12</v>
      </c>
      <c r="F116" s="13" t="s">
        <v>396</v>
      </c>
      <c r="G116" s="13" t="s">
        <v>406</v>
      </c>
      <c r="H116" s="13" t="s">
        <v>546</v>
      </c>
      <c r="I116" s="13" t="s">
        <v>68</v>
      </c>
    </row>
    <row r="117" customFormat="false" ht="15" hidden="false" customHeight="false" outlineLevel="0" collapsed="false">
      <c r="A117" s="13" t="s">
        <v>544</v>
      </c>
      <c r="B117" s="13" t="s">
        <v>545</v>
      </c>
      <c r="C117" s="13" t="s">
        <v>404</v>
      </c>
      <c r="D117" s="13" t="s">
        <v>133</v>
      </c>
      <c r="E117" s="13" t="n">
        <v>12</v>
      </c>
      <c r="F117" s="13" t="s">
        <v>396</v>
      </c>
      <c r="G117" s="13" t="s">
        <v>406</v>
      </c>
      <c r="H117" s="13" t="s">
        <v>546</v>
      </c>
      <c r="I117" s="13" t="s">
        <v>68</v>
      </c>
    </row>
    <row r="118" customFormat="false" ht="15" hidden="false" customHeight="false" outlineLevel="0" collapsed="false">
      <c r="A118" s="13" t="s">
        <v>544</v>
      </c>
      <c r="B118" s="13" t="s">
        <v>545</v>
      </c>
      <c r="C118" s="13" t="s">
        <v>404</v>
      </c>
      <c r="D118" s="13" t="s">
        <v>253</v>
      </c>
      <c r="E118" s="13" t="n">
        <v>12</v>
      </c>
      <c r="F118" s="13" t="s">
        <v>396</v>
      </c>
      <c r="G118" s="13" t="s">
        <v>406</v>
      </c>
      <c r="H118" s="13" t="s">
        <v>546</v>
      </c>
      <c r="I118" s="13" t="s">
        <v>68</v>
      </c>
    </row>
    <row r="119" customFormat="false" ht="23.85" hidden="false" customHeight="false" outlineLevel="0" collapsed="false">
      <c r="A119" s="13" t="s">
        <v>547</v>
      </c>
      <c r="B119" s="13" t="s">
        <v>548</v>
      </c>
      <c r="C119" s="13" t="s">
        <v>404</v>
      </c>
      <c r="D119" s="13" t="s">
        <v>321</v>
      </c>
      <c r="E119" s="13" t="n">
        <v>12</v>
      </c>
      <c r="F119" s="13" t="s">
        <v>405</v>
      </c>
      <c r="G119" s="13" t="s">
        <v>406</v>
      </c>
      <c r="H119" s="13" t="s">
        <v>549</v>
      </c>
      <c r="I119" s="13" t="s">
        <v>550</v>
      </c>
    </row>
    <row r="120" customFormat="false" ht="15" hidden="false" customHeight="false" outlineLevel="0" collapsed="false">
      <c r="A120" s="13" t="s">
        <v>551</v>
      </c>
      <c r="B120" s="13" t="s">
        <v>552</v>
      </c>
      <c r="C120" s="13" t="s">
        <v>404</v>
      </c>
      <c r="D120" s="13" t="s">
        <v>108</v>
      </c>
      <c r="E120" s="13" t="n">
        <v>6</v>
      </c>
      <c r="F120" s="13" t="s">
        <v>405</v>
      </c>
      <c r="G120" s="13" t="s">
        <v>48</v>
      </c>
      <c r="H120" s="13" t="s">
        <v>553</v>
      </c>
      <c r="I120" s="13" t="s">
        <v>550</v>
      </c>
    </row>
    <row r="121" customFormat="false" ht="15" hidden="false" customHeight="false" outlineLevel="0" collapsed="false">
      <c r="A121" s="13" t="s">
        <v>551</v>
      </c>
      <c r="B121" s="13" t="s">
        <v>552</v>
      </c>
      <c r="C121" s="13" t="s">
        <v>404</v>
      </c>
      <c r="D121" s="13" t="s">
        <v>284</v>
      </c>
      <c r="E121" s="13" t="n">
        <v>6</v>
      </c>
      <c r="F121" s="13" t="s">
        <v>405</v>
      </c>
      <c r="G121" s="13" t="s">
        <v>48</v>
      </c>
      <c r="H121" s="13" t="s">
        <v>553</v>
      </c>
      <c r="I121" s="13" t="s">
        <v>550</v>
      </c>
    </row>
    <row r="122" customFormat="false" ht="23.85" hidden="false" customHeight="false" outlineLevel="0" collapsed="false">
      <c r="A122" s="13" t="s">
        <v>162</v>
      </c>
      <c r="B122" s="13" t="s">
        <v>554</v>
      </c>
      <c r="C122" s="13" t="s">
        <v>404</v>
      </c>
      <c r="D122" s="13" t="s">
        <v>159</v>
      </c>
      <c r="E122" s="13" t="n">
        <v>6</v>
      </c>
      <c r="F122" s="13" t="s">
        <v>396</v>
      </c>
      <c r="G122" s="13" t="s">
        <v>48</v>
      </c>
      <c r="H122" s="13" t="s">
        <v>555</v>
      </c>
      <c r="I122" s="13" t="s">
        <v>76</v>
      </c>
    </row>
    <row r="123" customFormat="false" ht="23.85" hidden="false" customHeight="false" outlineLevel="0" collapsed="false">
      <c r="A123" s="13" t="s">
        <v>162</v>
      </c>
      <c r="B123" s="13" t="s">
        <v>554</v>
      </c>
      <c r="C123" s="13" t="s">
        <v>404</v>
      </c>
      <c r="D123" s="13" t="s">
        <v>164</v>
      </c>
      <c r="E123" s="13" t="n">
        <v>6</v>
      </c>
      <c r="F123" s="13" t="s">
        <v>396</v>
      </c>
      <c r="G123" s="13" t="s">
        <v>48</v>
      </c>
      <c r="H123" s="13" t="s">
        <v>555</v>
      </c>
      <c r="I123" s="13" t="s">
        <v>76</v>
      </c>
    </row>
    <row r="124" customFormat="false" ht="23.85" hidden="false" customHeight="false" outlineLevel="0" collapsed="false">
      <c r="A124" s="13" t="s">
        <v>162</v>
      </c>
      <c r="B124" s="13" t="s">
        <v>554</v>
      </c>
      <c r="C124" s="13" t="s">
        <v>404</v>
      </c>
      <c r="D124" s="13" t="s">
        <v>301</v>
      </c>
      <c r="E124" s="13" t="n">
        <v>6</v>
      </c>
      <c r="F124" s="13" t="s">
        <v>396</v>
      </c>
      <c r="G124" s="13" t="s">
        <v>48</v>
      </c>
      <c r="H124" s="13" t="s">
        <v>555</v>
      </c>
      <c r="I124" s="13" t="s">
        <v>76</v>
      </c>
    </row>
    <row r="125" customFormat="false" ht="23.85" hidden="false" customHeight="false" outlineLevel="0" collapsed="false">
      <c r="A125" s="13" t="s">
        <v>556</v>
      </c>
      <c r="B125" s="13" t="s">
        <v>557</v>
      </c>
      <c r="C125" s="13" t="s">
        <v>404</v>
      </c>
      <c r="D125" s="13" t="s">
        <v>128</v>
      </c>
      <c r="E125" s="13" t="n">
        <v>4</v>
      </c>
      <c r="F125" s="13" t="s">
        <v>396</v>
      </c>
      <c r="G125" s="13" t="s">
        <v>48</v>
      </c>
      <c r="H125" s="13" t="s">
        <v>558</v>
      </c>
      <c r="I125" s="13" t="s">
        <v>122</v>
      </c>
    </row>
    <row r="126" customFormat="false" ht="23.85" hidden="false" customHeight="false" outlineLevel="0" collapsed="false">
      <c r="A126" s="13" t="s">
        <v>556</v>
      </c>
      <c r="B126" s="13" t="s">
        <v>557</v>
      </c>
      <c r="C126" s="13" t="s">
        <v>404</v>
      </c>
      <c r="D126" s="13" t="s">
        <v>133</v>
      </c>
      <c r="E126" s="13" t="n">
        <v>4</v>
      </c>
      <c r="F126" s="13" t="s">
        <v>396</v>
      </c>
      <c r="G126" s="13" t="s">
        <v>48</v>
      </c>
      <c r="H126" s="13" t="s">
        <v>558</v>
      </c>
      <c r="I126" s="13" t="s">
        <v>122</v>
      </c>
    </row>
    <row r="127" customFormat="false" ht="15" hidden="false" customHeight="false" outlineLevel="0" collapsed="false">
      <c r="A127" s="13" t="s">
        <v>559</v>
      </c>
      <c r="B127" s="13" t="s">
        <v>560</v>
      </c>
      <c r="C127" s="13" t="s">
        <v>404</v>
      </c>
      <c r="D127" s="13" t="s">
        <v>124</v>
      </c>
      <c r="E127" s="13" t="n">
        <v>6</v>
      </c>
      <c r="F127" s="13" t="s">
        <v>405</v>
      </c>
      <c r="G127" s="13" t="s">
        <v>48</v>
      </c>
      <c r="H127" s="13" t="s">
        <v>561</v>
      </c>
      <c r="I127" s="13" t="s">
        <v>170</v>
      </c>
    </row>
    <row r="128" customFormat="false" ht="15" hidden="false" customHeight="false" outlineLevel="0" collapsed="false">
      <c r="A128" s="13" t="s">
        <v>559</v>
      </c>
      <c r="B128" s="13" t="s">
        <v>560</v>
      </c>
      <c r="C128" s="13" t="s">
        <v>404</v>
      </c>
      <c r="D128" s="13" t="s">
        <v>133</v>
      </c>
      <c r="E128" s="13" t="n">
        <v>6</v>
      </c>
      <c r="F128" s="13" t="s">
        <v>405</v>
      </c>
      <c r="G128" s="13" t="s">
        <v>48</v>
      </c>
      <c r="H128" s="13" t="s">
        <v>561</v>
      </c>
      <c r="I128" s="13" t="s">
        <v>170</v>
      </c>
    </row>
    <row r="129" customFormat="false" ht="23.85" hidden="false" customHeight="false" outlineLevel="0" collapsed="false">
      <c r="A129" s="13" t="s">
        <v>562</v>
      </c>
      <c r="B129" s="13" t="s">
        <v>563</v>
      </c>
      <c r="C129" s="13" t="s">
        <v>404</v>
      </c>
      <c r="D129" s="13" t="s">
        <v>118</v>
      </c>
      <c r="E129" s="13" t="n">
        <v>6</v>
      </c>
      <c r="F129" s="13" t="s">
        <v>405</v>
      </c>
      <c r="G129" s="13" t="s">
        <v>48</v>
      </c>
      <c r="H129" s="13" t="s">
        <v>564</v>
      </c>
      <c r="I129" s="13" t="s">
        <v>122</v>
      </c>
    </row>
    <row r="130" customFormat="false" ht="23.85" hidden="false" customHeight="false" outlineLevel="0" collapsed="false">
      <c r="A130" s="13" t="s">
        <v>562</v>
      </c>
      <c r="B130" s="13" t="s">
        <v>563</v>
      </c>
      <c r="C130" s="13" t="s">
        <v>404</v>
      </c>
      <c r="D130" s="13" t="s">
        <v>128</v>
      </c>
      <c r="E130" s="13" t="n">
        <v>6</v>
      </c>
      <c r="F130" s="13" t="s">
        <v>405</v>
      </c>
      <c r="G130" s="13" t="s">
        <v>48</v>
      </c>
      <c r="H130" s="13" t="s">
        <v>564</v>
      </c>
      <c r="I130" s="13" t="s">
        <v>122</v>
      </c>
    </row>
  </sheetData>
  <autoFilter ref="A1:I1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2026-10-19T09:55:49Z</dcterms:created>
  <dc:creator>openpyxl</dc:creator>
  <dc:description/>
  <dc:language>en-US</dc:language>
  <cp:lastModifiedBy/>
  <dcterms:modified xsi:type="dcterms:W3CDTF">2026-10-19T09:55:49Z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