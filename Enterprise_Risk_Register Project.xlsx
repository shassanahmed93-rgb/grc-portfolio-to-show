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ME" sheetId="1" state="visible" r:id="rId3"/>
    <sheet name="Risk Register" sheetId="2" state="visible" r:id="rId4"/>
    <sheet name="Dashboard" sheetId="3" state="visible" r:id="rId5"/>
    <sheet name="Heat Map" sheetId="4" state="visible" r:id="rId6"/>
    <sheet name="Scoring" sheetId="5" state="visible" r:id="rId7"/>
    <sheet name="Lists" sheetId="6" state="visible" r:id="rId8"/>
  </sheets>
  <definedNames>
    <definedName function="false" hidden="true" localSheetId="1" name="_xlnm._FilterDatabase" vbProcedure="false">'Risk Register'!$A$5:$AA$105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<sst xmlns="http://schemas.openxmlformats.org/spreadsheetml/2006/main" count="1297" uniqueCount="868">
  <si>
    <t xml:space="preserve">GRC Portfolio Project: Information Security Risk Register</t>
  </si>
  <si>
    <t xml:space="preserve">Fictional organisation: Northwind Financial Group  |  Version 1.0  |  Prepared 2026-10-14</t>
  </si>
  <si>
    <t xml:space="preserve">COMPANY PROFILE</t>
  </si>
  <si>
    <t xml:space="preserve">Company</t>
  </si>
  <si>
    <t xml:space="preserve">Meridian Provisions Group (fictional): a global packaged-food manufacturer. About 6,200 employees, 14 plants across 9 countries, annual revenue about $2.4B, roughly 2,500 hybrid or remote office staff.</t>
  </si>
  <si>
    <t xml:space="preserve">Context</t>
  </si>
  <si>
    <t xml:space="preserve">The business is adopting AI (demand forecasting, plant analytics, customer service), moving to hybrid work, and facing climate-driven crop volatility and unstable global supply chains. These four forces drive most of the risks in this register.</t>
  </si>
  <si>
    <t xml:space="preserve">PURPOSE</t>
  </si>
  <si>
    <t xml:space="preserve">Purpose</t>
  </si>
  <si>
    <t xml:space="preserve">An enterprise risk register showing the full risk lifecycle: identify, assess (inherent), apply controls, reassess (residual), treat, assign ownership, monitor with KRIs, and report to leadership.</t>
  </si>
  <si>
    <t xml:space="preserve">Methodology</t>
  </si>
  <si>
    <t xml:space="preserve">Aligned to ISO 31000. Controls and actions reference ISO 22301 (continuity), ISO 28000 (supply chain security), ISO 27001 (information security), NIST AI RMF and ISO/IEC 42001 (AI), IEC 62443 (OT), and TCFD / ISSB IFRS S2 (climate).</t>
  </si>
  <si>
    <t xml:space="preserve">Scoring</t>
  </si>
  <si>
    <t xml:space="preserve">5x5 qualitative matrix. Risk Score = Likelihood x Impact (1-25). Bands: Low 1-4, Medium 5-9, High 10-14, Critical 15-25. Thresholds live on the 'Scoring' sheet and drive every rating.</t>
  </si>
  <si>
    <t xml:space="preserve">SHEETS</t>
  </si>
  <si>
    <t xml:space="preserve">Risk Register</t>
  </si>
  <si>
    <t xml:space="preserve">75 sample risks in 13 categories (6 cyber security sub-categories), 27 columns, auto-calculated scores, ratings, appetite check and next review date. Formulas are pre-filled to row 105 so you can add risks.</t>
  </si>
  <si>
    <t xml:space="preserve">Dashboard</t>
  </si>
  <si>
    <t xml:space="preserve">Executive view: KPIs, inherent vs residual chart, category chart, status and treatment breakdowns, and the Top 5 residual risks.</t>
  </si>
  <si>
    <t xml:space="preserve">Heat Map</t>
  </si>
  <si>
    <t xml:space="preserve">5x5 heat maps (inherent and residual) showing how many risks sit in each Likelihood x Impact cell.</t>
  </si>
  <si>
    <t xml:space="preserve">Likelihood scale, impact scale, rating bands, required response, review frequency, and the risk appetite threshold.</t>
  </si>
  <si>
    <t xml:space="preserve">Lists</t>
  </si>
  <si>
    <t xml:space="preserve">Dropdown values used for data validation (categories, control effectiveness, treatment, status).</t>
  </si>
  <si>
    <t xml:space="preserve">HOW TO USE</t>
  </si>
  <si>
    <t xml:space="preserve">Add a risk</t>
  </si>
  <si>
    <t xml:space="preserve">Type in the next empty row of 'Risk Register'. Fill blue-text input columns only; black columns calculate automatically.</t>
  </si>
  <si>
    <t xml:space="preserve">Change appetite</t>
  </si>
  <si>
    <t xml:space="preserve">Edit the yellow cell on the 'Scoring' sheet. 'Within Appetite?' and the dashboard update automatically.</t>
  </si>
  <si>
    <t xml:space="preserve">Colour key</t>
  </si>
  <si>
    <t xml:space="preserve">Blue text = input. Black text = formula. Yellow fill = key assumption you can change.</t>
  </si>
  <si>
    <t xml:space="preserve">ASSUMPTIONS</t>
  </si>
  <si>
    <t xml:space="preserve">Fictional data</t>
  </si>
  <si>
    <t xml:space="preserve">Meridian Provisions Group, its sites, suppliers, figures, owners (shown as roles, not names), dates and KRIs are invented for portfolio purposes. No real company data is used.</t>
  </si>
  <si>
    <t xml:space="preserve">Financial scale</t>
  </si>
  <si>
    <t xml:space="preserve">Impact dollar thresholds on 'Scoring' are scaled to a $2.4B revenue company and are illustrative. Calibrate them to a real organisation.</t>
  </si>
  <si>
    <t xml:space="preserve">Appetite</t>
  </si>
  <si>
    <t xml:space="preserve">Residual score of 9 or below (Medium or lower) is treated as within appetite. This is an assumption, editable on 'Scoring'.</t>
  </si>
  <si>
    <t xml:space="preserve">Review cycle</t>
  </si>
  <si>
    <t xml:space="preserve">Next review = Last Review + frequency for the residual rating (Critical 30, High 90, Medium 180, Low 365 days). Assumption, editable on 'Scoring'.</t>
  </si>
  <si>
    <t xml:space="preserve">Heat map colours</t>
  </si>
  <si>
    <t xml:space="preserve">Heat map cell colours are fixed to the default bands. If you change band thresholds, recolour the heat map cells manually.</t>
  </si>
  <si>
    <t xml:space="preserve">Helper column</t>
  </si>
  <si>
    <t xml:space="preserve">Column AB on 'Risk Register' is a hidden helper used to rank the Top 5 on the dashboard. Do not delete it.</t>
  </si>
  <si>
    <t xml:space="preserve">Enterprise Risk Register</t>
  </si>
  <si>
    <t xml:space="preserve">Meridian Provisions Group (fictional)  |  ISO 31000 aligned  |  5x5 scoring  |  Themes: cyber security, AI adoption, hybrid work, climate change, supply chain</t>
  </si>
  <si>
    <t xml:space="preserve">Key: blue text = input, black = auto-calculated. Scores, ratings, appetite check and next review date update automatically. Rows 6-80 are illustrative sample data; formulas are pre-filled to row 105.</t>
  </si>
  <si>
    <t xml:space="preserve">Risk ID</t>
  </si>
  <si>
    <t xml:space="preserve">Date Identified</t>
  </si>
  <si>
    <t xml:space="preserve">Category</t>
  </si>
  <si>
    <t xml:space="preserve">Risk Title</t>
  </si>
  <si>
    <t xml:space="preserve">Risk Description (Cause &gt; Event &gt; Impact)</t>
  </si>
  <si>
    <t xml:space="preserve">Affected Asset / Process</t>
  </si>
  <si>
    <t xml:space="preserve">Risk Owner</t>
  </si>
  <si>
    <t xml:space="preserve">Inherent Likelihood (1-5)</t>
  </si>
  <si>
    <t xml:space="preserve">Inherent Impact (1-5)</t>
  </si>
  <si>
    <t xml:space="preserve">Inherent Score</t>
  </si>
  <si>
    <t xml:space="preserve">Inherent Rating</t>
  </si>
  <si>
    <t xml:space="preserve">Existing Controls</t>
  </si>
  <si>
    <t xml:space="preserve">Framework Mapping (ISO / NIST / TCFD / ISSB)</t>
  </si>
  <si>
    <t xml:space="preserve">Control Effectiveness</t>
  </si>
  <si>
    <t xml:space="preserve">Residual Likelihood (1-5)</t>
  </si>
  <si>
    <t xml:space="preserve">Residual Impact (1-5)</t>
  </si>
  <si>
    <t xml:space="preserve">Residual Score</t>
  </si>
  <si>
    <t xml:space="preserve">Residual Rating</t>
  </si>
  <si>
    <t xml:space="preserve">Within Appetite?</t>
  </si>
  <si>
    <t xml:space="preserve">Treatment</t>
  </si>
  <si>
    <t xml:space="preserve">Treatment Plan / Action</t>
  </si>
  <si>
    <t xml:space="preserve">Action Owner</t>
  </si>
  <si>
    <t xml:space="preserve">Target Date</t>
  </si>
  <si>
    <t xml:space="preserve">Status</t>
  </si>
  <si>
    <t xml:space="preserve">Key Risk Indicator (KRI)</t>
  </si>
  <si>
    <t xml:space="preserve">Last Review</t>
  </si>
  <si>
    <t xml:space="preserve">Next Review</t>
  </si>
  <si>
    <t xml:space="preserve">Sort Key (helper)</t>
  </si>
  <si>
    <t xml:space="preserve">R-001</t>
  </si>
  <si>
    <t xml:space="preserve">Climate &amp; Environment</t>
  </si>
  <si>
    <t xml:space="preserve">Heat and drought cut yields of key crop inputs</t>
  </si>
  <si>
    <t xml:space="preserve">Due to more frequent heatwaves and drought in sourcing regions (wheat, cocoa, sunflower oil), supply volumes could fall and input prices spike, compressing margins and causing stockouts of flagship products.</t>
  </si>
  <si>
    <t xml:space="preserve">Raw ingredient sourcing (top 5 crops)</t>
  </si>
  <si>
    <t xml:space="preserve">Chief Procurement Officer</t>
  </si>
  <si>
    <t xml:space="preserve">Multi-origin sourcing for top 5 ingredients; forward contracts covering about 60% of annual volume; supplier crop-monitoring programme.</t>
  </si>
  <si>
    <t xml:space="preserve">ISO 31000 6.4 | TCFD Strategy | ISSB IFRS S2 (physical risk)</t>
  </si>
  <si>
    <t xml:space="preserve">Adequate</t>
  </si>
  <si>
    <t xml:space="preserve">Mitigate</t>
  </si>
  <si>
    <t xml:space="preserve">Qualify alternate origins for cocoa and wheat; prepare reformulation options for 3 SKUs; run 2C and 4C climate scenario analysis.</t>
  </si>
  <si>
    <t xml:space="preserve">Head of Strategic Sourcing</t>
  </si>
  <si>
    <t xml:space="preserve">In Progress</t>
  </si>
  <si>
    <t xml:space="preserve">% volume from single origin (target &lt;30%); forward cover %</t>
  </si>
  <si>
    <t xml:space="preserve">R-002</t>
  </si>
  <si>
    <t xml:space="preserve">Flooding and storm damage at coastal plants</t>
  </si>
  <si>
    <t xml:space="preserve">Four of 14 plants sit in flood-prone coastal zones. A major storm or flood could halt production for weeks and damage equipment and inventory.</t>
  </si>
  <si>
    <t xml:space="preserve">Plants 3, 5, 9 and 11</t>
  </si>
  <si>
    <t xml:space="preserve">Chief Operating Officer</t>
  </si>
  <si>
    <t xml:space="preserve">Site flood-risk assessments; business interruption insurance; flood barriers at 2 sites; emergency response plans.</t>
  </si>
  <si>
    <t xml:space="preserve">ISO 14090 (adaptation) | ISO 22301 | TCFD Risk Management</t>
  </si>
  <si>
    <t xml:space="preserve">Transfer</t>
  </si>
  <si>
    <t xml:space="preserve">Install barriers and raise critical equipment at remaining 2 sites; review insurance sublimits and parametric cover options.</t>
  </si>
  <si>
    <t xml:space="preserve">Head of EHS &amp; Facilities</t>
  </si>
  <si>
    <t xml:space="preserve">Open</t>
  </si>
  <si>
    <t xml:space="preserve">Sites with completed adaptation plan (target 4 of 4); insurance sublimit vs modelled loss</t>
  </si>
  <si>
    <t xml:space="preserve">R-003</t>
  </si>
  <si>
    <t xml:space="preserve">Supply Chain &amp; Logistics</t>
  </si>
  <si>
    <t xml:space="preserve">Maritime chokepoint disruption extends lead times</t>
  </si>
  <si>
    <t xml:space="preserve">Due to geopolitical tension and extreme weather near major shipping lanes (e.g. Red Sea, Panama Canal), inbound ingredient and packaging deliveries could be delayed, raising freight costs and causing line stoppages.</t>
  </si>
  <si>
    <t xml:space="preserve">Ocean freight, inbound logistics</t>
  </si>
  <si>
    <t xml:space="preserve">Chief Supply Chain Officer</t>
  </si>
  <si>
    <t xml:space="preserve">Freight contracts with rerouting clauses; 3 weeks safety stock on 25 critical SKUs; logistics control tower.</t>
  </si>
  <si>
    <t xml:space="preserve">ISO 28000 | ISO 22301 | ISO 31000</t>
  </si>
  <si>
    <t xml:space="preserve">Nearshore two packaging lines; adopt dual-port strategy for EU imports.</t>
  </si>
  <si>
    <t xml:space="preserve">Head of Logistics</t>
  </si>
  <si>
    <t xml:space="preserve">Inbound lead time vs baseline; days of inventory on critical SKUs</t>
  </si>
  <si>
    <t xml:space="preserve">R-004</t>
  </si>
  <si>
    <t xml:space="preserve">Single-source dependency for specialty packaging film</t>
  </si>
  <si>
    <t xml:space="preserve">Due to reliance on one supplier, a plant fire, insolvency or export restriction could stop packaging for 40% of the product range.</t>
  </si>
  <si>
    <t xml:space="preserve">Packaging film (Tier-1 supplier)</t>
  </si>
  <si>
    <t xml:space="preserve">3-year supply contract; 6 weeks buffer stock; supplier financial health monitoring.</t>
  </si>
  <si>
    <t xml:space="preserve">Weak</t>
  </si>
  <si>
    <t xml:space="preserve">Qualify second supplier; trial recyclable mono-material alternative film.</t>
  </si>
  <si>
    <t xml:space="preserve">Packaging Category Manager</t>
  </si>
  <si>
    <t xml:space="preserve">% spend with sole-source suppliers; supplier on-time-in-full rate</t>
  </si>
  <si>
    <t xml:space="preserve">R-005</t>
  </si>
  <si>
    <t xml:space="preserve">Tariffs and trade restrictions disrupt cross-border flows</t>
  </si>
  <si>
    <t xml:space="preserve">Due to shifting trade policy, new tariffs or import bans could raise landed costs and force rapid changes to sourcing and pricing.</t>
  </si>
  <si>
    <t xml:space="preserve">Cross-border trade flows (9 countries)</t>
  </si>
  <si>
    <t xml:space="preserve">Head of Trade Compliance</t>
  </si>
  <si>
    <t xml:space="preserve">Trade compliance team; tariff scenario modelling; duty drawback programmes.</t>
  </si>
  <si>
    <t xml:space="preserve">ISO 31000 | ISO 28000</t>
  </si>
  <si>
    <t xml:space="preserve">Re-map bill of materials by country of origin; add tariff pass-through clauses to key customer contracts.</t>
  </si>
  <si>
    <t xml:space="preserve">Trade Compliance Manager</t>
  </si>
  <si>
    <t xml:space="preserve">Tariff cost as % of COGS; SKUs with single country-of-origin exposure</t>
  </si>
  <si>
    <t xml:space="preserve">R-006</t>
  </si>
  <si>
    <t xml:space="preserve">Regulatory &amp; ESG</t>
  </si>
  <si>
    <t xml:space="preserve">Tier-2 supplier forced labour or deforestation non-compliance</t>
  </si>
  <si>
    <t xml:space="preserve">Due to limited visibility beyond Tier-1, suppliers could use forced labour or deforested land, triggering import bans, fines and brand damage under due diligence laws (e.g. EU CSDDD, EUDR).</t>
  </si>
  <si>
    <t xml:space="preserve">Palm oil and cocoa supply chains</t>
  </si>
  <si>
    <t xml:space="preserve">Chief Sustainability Officer</t>
  </si>
  <si>
    <t xml:space="preserve">Supplier code of conduct; annual Tier-1 audits; third-party ESG ratings.</t>
  </si>
  <si>
    <t xml:space="preserve">ISO 20400 | ISO 31000 | ISSB IFRS S1</t>
  </si>
  <si>
    <t xml:space="preserve">Map Tier-2 for palm oil and cocoa; deploy traceability platform; add audit rights to contracts.</t>
  </si>
  <si>
    <t xml:space="preserve">Head of Sustainability</t>
  </si>
  <si>
    <t xml:space="preserve">% volume traced to farm or mill; supplier audit non-conformities closed on time</t>
  </si>
  <si>
    <t xml:space="preserve">R-007</t>
  </si>
  <si>
    <t xml:space="preserve">Carbon pricing and climate disclosure mandates raise costs</t>
  </si>
  <si>
    <t xml:space="preserve">Due to expanding carbon pricing and mandatory climate reporting, compliance and energy costs could rise and missed targets could attract investor and regulator scrutiny.</t>
  </si>
  <si>
    <t xml:space="preserve">Scope 1-3 emissions, capex plan</t>
  </si>
  <si>
    <t xml:space="preserve">Chief Financial Officer</t>
  </si>
  <si>
    <t xml:space="preserve">Scope 1-2 baseline; internal carbon price in capex decisions; net-zero roadmap.</t>
  </si>
  <si>
    <t xml:space="preserve">ISSB IFRS S2 | GHG Protocol | TCFD Metrics &amp; Targets</t>
  </si>
  <si>
    <t xml:space="preserve">Complete Scope 3 baseline; sign renewable PPAs and efficiency upgrades at 5 most energy-intensive plants.</t>
  </si>
  <si>
    <t xml:space="preserve">Scope 1+2 tCO2e vs target; carbon cost exposure ($M)</t>
  </si>
  <si>
    <t xml:space="preserve">R-008</t>
  </si>
  <si>
    <t xml:space="preserve">Technology &amp; AI</t>
  </si>
  <si>
    <t xml:space="preserve">Confidential data leakage through generative AI tools</t>
  </si>
  <si>
    <t xml:space="preserve">Due to unmanaged use of public AI tools, staff may paste recipes, supplier pricing or customer data into external services, causing loss of IP and possible contractual or privacy breaches.</t>
  </si>
  <si>
    <t xml:space="preserve">Employees, IP, supplier contracts</t>
  </si>
  <si>
    <t xml:space="preserve">Chief Information Security Officer</t>
  </si>
  <si>
    <t xml:space="preserve">AI acceptable use policy; approved enterprise AI tool with no-training terms; partial web filtering and DLP.</t>
  </si>
  <si>
    <t xml:space="preserve">NIST AI RMF (Govern, Manage) | ISO/IEC 42001 | ISO 27001 A.8.12</t>
  </si>
  <si>
    <t xml:space="preserve">Deploy DLP rules for external AI services; publish AI tool register; mandatory AI-use training.</t>
  </si>
  <si>
    <t xml:space="preserve">Head of Data Governance</t>
  </si>
  <si>
    <t xml:space="preserve">DLP events to unapproved AI services; % staff trained on AI policy</t>
  </si>
  <si>
    <t xml:space="preserve">R-009</t>
  </si>
  <si>
    <t xml:space="preserve">AI demand forecast drift causes inventory errors</t>
  </si>
  <si>
    <t xml:space="preserve">Due to volatile post-disruption demand, the AI forecasting model may drift from reality, causing overstock, waste of perishable stock or stockouts.</t>
  </si>
  <si>
    <t xml:space="preserve">Demand planning, S&amp;OP process</t>
  </si>
  <si>
    <t xml:space="preserve">Chief Data &amp; AI Officer</t>
  </si>
  <si>
    <t xml:space="preserve">Model performance dashboard; planner override capability; quarterly retraining.</t>
  </si>
  <si>
    <t xml:space="preserve">NIST AI RMF (Measure, Manage) | ISO/IEC 42001</t>
  </si>
  <si>
    <t xml:space="preserve">Add drift detection and human approval for forecasts with more than 15% variance; run champion-challenger testing.</t>
  </si>
  <si>
    <t xml:space="preserve">ML Engineering Lead</t>
  </si>
  <si>
    <t xml:space="preserve">Forecast error WAPE (target &lt;20%); open drift alerts</t>
  </si>
  <si>
    <t xml:space="preserve">R-010</t>
  </si>
  <si>
    <t xml:space="preserve">Biased or non-compliant AI in hiring and customer service</t>
  </si>
  <si>
    <t xml:space="preserve">Due to weak AI governance, automated CV screening or chatbots could produce discriminatory outcomes or breach AI regulation (e.g. EU AI Act high-risk employment use), leading to fines, claims and reputational damage.</t>
  </si>
  <si>
    <t xml:space="preserve">HR recruitment, customer service</t>
  </si>
  <si>
    <t xml:space="preserve">General Counsel</t>
  </si>
  <si>
    <t xml:space="preserve">AI use-case intake form; legal review of vendors (partial).</t>
  </si>
  <si>
    <t xml:space="preserve">EU AI Act | NIST AI RMF (Map) | ISO/IEC 42001</t>
  </si>
  <si>
    <t xml:space="preserve">Avoid</t>
  </si>
  <si>
    <t xml:space="preserve">Pause automated CV screening pilot; limit AI to scheduling; re-evaluate after bias testing and vendor conformity evidence.</t>
  </si>
  <si>
    <t xml:space="preserve">AI Governance Lead</t>
  </si>
  <si>
    <t xml:space="preserve">% AI use cases risk-classified; bias test pass rate</t>
  </si>
  <si>
    <t xml:space="preserve">R-011</t>
  </si>
  <si>
    <t xml:space="preserve">Cyber: Identity &amp; Access</t>
  </si>
  <si>
    <t xml:space="preserve">Deepfake-enabled payment fraud and executive impersonation</t>
  </si>
  <si>
    <t xml:space="preserve">Due to realistic AI voice and video cloning, staff could be tricked into releasing payments or changing supplier bank details, causing direct financial loss.</t>
  </si>
  <si>
    <t xml:space="preserve">Treasury, accounts payable</t>
  </si>
  <si>
    <t xml:space="preserve">Dual approval for payments above $50k; call-back verification for bank detail changes; fraud awareness.</t>
  </si>
  <si>
    <t xml:space="preserve">ISO 27001 A.5.3, A.6.3 | NIST CSF 2.0 PR.AT</t>
  </si>
  <si>
    <t xml:space="preserve">Introduce out-of-band codeword verification for executive payment requests; run deepfake awareness drills.</t>
  </si>
  <si>
    <t xml:space="preserve">Treasury Controller</t>
  </si>
  <si>
    <t xml:space="preserve">Fraud attempts detected vs lost; % payment staff trained</t>
  </si>
  <si>
    <t xml:space="preserve">R-012</t>
  </si>
  <si>
    <t xml:space="preserve">Cyber: OT &amp; Third-Party</t>
  </si>
  <si>
    <t xml:space="preserve">Ransomware targeting plant operational technology (OT)</t>
  </si>
  <si>
    <t xml:space="preserve">Connecting plant systems to AI analytics widens the attack surface. Ransomware could stop production lines, spoil perishable stock and delay deliveries.</t>
  </si>
  <si>
    <t xml:space="preserve">OT networks at 14 plants</t>
  </si>
  <si>
    <t xml:space="preserve">IT/OT segmentation at 9 of 14 plants; EDR on IT systems; offline backups; OT incident plan.</t>
  </si>
  <si>
    <t xml:space="preserve">IEC 62443 | NIST CSF 2.0 PR.IR | ISO 27001 A.8.22</t>
  </si>
  <si>
    <t xml:space="preserve">Segment remaining 5 plants; build OT asset inventory with passive monitoring; run manual-mode production drills.</t>
  </si>
  <si>
    <t xml:space="preserve">Head of OT Security</t>
  </si>
  <si>
    <t xml:space="preserve">% plants with IT/OT segmentation (target 100%); % OT assets visible</t>
  </si>
  <si>
    <t xml:space="preserve">R-013</t>
  </si>
  <si>
    <t xml:space="preserve">Phishing and credential theft targeting remote workers</t>
  </si>
  <si>
    <t xml:space="preserve">Due to hybrid working and access from home networks, stolen credentials could give attackers access to email, ERP and cloud systems.</t>
  </si>
  <si>
    <t xml:space="preserve">Remote and hybrid users (about 2,500)</t>
  </si>
  <si>
    <t xml:space="preserve">MFA and conditional access; secure email gateway; quarterly phishing simulations.</t>
  </si>
  <si>
    <t xml:space="preserve">ISO 27001 A.6.3, A.6.7, A.8.5 | NIST CSF 2.0 PR.AA</t>
  </si>
  <si>
    <t xml:space="preserve">Roll out phishing-resistant MFA for finance, HR and admins; gate access on device compliance.</t>
  </si>
  <si>
    <t xml:space="preserve">Identity &amp; Access Manager</t>
  </si>
  <si>
    <t xml:space="preserve">Phishing click rate (target &lt;5%); % apps behind conditional access</t>
  </si>
  <si>
    <t xml:space="preserve">R-014</t>
  </si>
  <si>
    <t xml:space="preserve">Workforce &amp; Operating Model</t>
  </si>
  <si>
    <t xml:space="preserve">Hybrid work weakens security and compliance controls</t>
  </si>
  <si>
    <t xml:space="preserve">Due to unmanaged devices, home networks and personal cloud storage, company data may be exposed and policies bypassed outside the office.</t>
  </si>
  <si>
    <t xml:space="preserve">Laptops, BYOD, collaboration tools</t>
  </si>
  <si>
    <t xml:space="preserve">Chief Information Officer</t>
  </si>
  <si>
    <t xml:space="preserve">MDM on corporate devices; VPN; remote working policy.</t>
  </si>
  <si>
    <t xml:space="preserve">ISO 27001 A.6.7, A.7.9, A.8.1</t>
  </si>
  <si>
    <t xml:space="preserve">Move to zero-trust network access; restrict BYOD to virtual desktop; refresh remote working policy.</t>
  </si>
  <si>
    <t xml:space="preserve">Head of End-User Computing</t>
  </si>
  <si>
    <t xml:space="preserve">% devices MDM-compliant (target 98%); BYOD exceptions</t>
  </si>
  <si>
    <t xml:space="preserve">R-015</t>
  </si>
  <si>
    <t xml:space="preserve">Loss of critical skills through turnover and an ageing workforce</t>
  </si>
  <si>
    <t xml:space="preserve">Due to retirements and competition for talent, plant engineering and food-science knowledge could be lost, reducing quality, safety and innovation capacity.</t>
  </si>
  <si>
    <t xml:space="preserve">Plant engineering, R&amp;D</t>
  </si>
  <si>
    <t xml:space="preserve">Chief People Officer</t>
  </si>
  <si>
    <t xml:space="preserve">Succession plans for top 40 roles; mentoring; partial knowledge base.</t>
  </si>
  <si>
    <t xml:space="preserve">ISO 30414 | ISO 31000</t>
  </si>
  <si>
    <t xml:space="preserve">Run skills gap analysis; launch apprenticeship scheme; document critical SOPs.</t>
  </si>
  <si>
    <t xml:space="preserve">Head of Talent</t>
  </si>
  <si>
    <t xml:space="preserve">Regretted attrition (target &lt;8%); key roles with ready successor</t>
  </si>
  <si>
    <t xml:space="preserve">R-016</t>
  </si>
  <si>
    <t xml:space="preserve">Reskilling gap as AI and automation change job roles</t>
  </si>
  <si>
    <t xml:space="preserve">Due to rapid AI adoption, employees may lack skills to work with new tools, causing productivity loss, resistance to change and attrition.</t>
  </si>
  <si>
    <t xml:space="preserve">Corporate functions and plant staff</t>
  </si>
  <si>
    <t xml:space="preserve">Learning academy; AI literacy course; manager briefings.</t>
  </si>
  <si>
    <t xml:space="preserve">ISO 30414 | NIST AI RMF (Govern)</t>
  </si>
  <si>
    <t xml:space="preserve">Map roles affected by AI; fund reskilling pathways; set AI change management plan.</t>
  </si>
  <si>
    <t xml:space="preserve">Head of Learning</t>
  </si>
  <si>
    <t xml:space="preserve">% staff completing AI literacy; internal mobility rate</t>
  </si>
  <si>
    <t xml:space="preserve">R-017</t>
  </si>
  <si>
    <t xml:space="preserve">Burnout and disengagement under hybrid and AI-driven change</t>
  </si>
  <si>
    <t xml:space="preserve">Due to blurred work boundaries and constant change, burnout could raise absence, error rates and attrition.</t>
  </si>
  <si>
    <t xml:space="preserve">Corporate functions</t>
  </si>
  <si>
    <t xml:space="preserve">Employee assistance programme; manager training; pulse surveys.</t>
  </si>
  <si>
    <t xml:space="preserve">ISO 45003 (psychosocial risk) | ISO 31000</t>
  </si>
  <si>
    <t xml:space="preserve">Define hybrid working norms and meeting-free hours; track wellbeing indicators by team.</t>
  </si>
  <si>
    <t xml:space="preserve">HR Business Partner Lead</t>
  </si>
  <si>
    <t xml:space="preserve">Employee engagement score; absence rate</t>
  </si>
  <si>
    <t xml:space="preserve">R-018</t>
  </si>
  <si>
    <t xml:space="preserve">Operational Resilience</t>
  </si>
  <si>
    <t xml:space="preserve">Key product lines depend on a single plant</t>
  </si>
  <si>
    <t xml:space="preserve">Due to concentrated production, a fire, strike or equipment failure at one plant could stop supply of top-selling products with no ready alternative site.</t>
  </si>
  <si>
    <t xml:space="preserve">Plant 7 (top 10 SKUs)</t>
  </si>
  <si>
    <t xml:space="preserve">Business continuity plan; preventive maintenance programme; critical spares stock.</t>
  </si>
  <si>
    <t xml:space="preserve">ISO 22301 | ISO 31000</t>
  </si>
  <si>
    <t xml:space="preserve">Qualify second production site for top 10 SKUs.</t>
  </si>
  <si>
    <t xml:space="preserve">Head of Manufacturing Excellence</t>
  </si>
  <si>
    <t xml:space="preserve">% top SKUs with dual-site capability; unplanned downtime hours</t>
  </si>
  <si>
    <t xml:space="preserve">R-019</t>
  </si>
  <si>
    <t xml:space="preserve">Financial &amp; Market</t>
  </si>
  <si>
    <t xml:space="preserve">Energy price volatility and grid instability</t>
  </si>
  <si>
    <t xml:space="preserve">Due to market shocks and extreme weather stressing power grids, energy costs could spike and supply interruptions could halt production.</t>
  </si>
  <si>
    <t xml:space="preserve">Plant energy supply (14 plants)</t>
  </si>
  <si>
    <t xml:space="preserve">Hedged about 50% of energy needs; on-site generators at 6 plants.</t>
  </si>
  <si>
    <t xml:space="preserve">ISO 50001 | ISO 31000</t>
  </si>
  <si>
    <t xml:space="preserve">Extend hedging cover; add generators and battery storage at critical plants.</t>
  </si>
  <si>
    <t xml:space="preserve">Energy Manager</t>
  </si>
  <si>
    <t xml:space="preserve">% energy hedged; energy cost per tonne produced</t>
  </si>
  <si>
    <t xml:space="preserve">R-020</t>
  </si>
  <si>
    <t xml:space="preserve">Currency and commodity volatility compress margins</t>
  </si>
  <si>
    <t xml:space="preserve">Due to inflation and market swings, input and currency costs could rise faster than pricing can adjust, reducing gross margin.</t>
  </si>
  <si>
    <t xml:space="preserve">Gross margin, pricing</t>
  </si>
  <si>
    <t xml:space="preserve">Treasury hedging policy; pricing review clauses with customers.</t>
  </si>
  <si>
    <t xml:space="preserve">ISO 31000</t>
  </si>
  <si>
    <t xml:space="preserve">Raise hedge ratio for top commodities; introduce quarterly price adjustment mechanism.</t>
  </si>
  <si>
    <t xml:space="preserve">Group Treasurer</t>
  </si>
  <si>
    <t xml:space="preserve">Monitoring</t>
  </si>
  <si>
    <t xml:space="preserve">Hedge ratio; gross margin variance to plan</t>
  </si>
  <si>
    <t xml:space="preserve">R-021</t>
  </si>
  <si>
    <t xml:space="preserve">Greenwashing allegations from inaccurate sustainability claims</t>
  </si>
  <si>
    <t xml:space="preserve">Due to weak substantiation, product and corporate environmental claims could be challenged, leading to fines, product relabelling and loss of consumer trust.</t>
  </si>
  <si>
    <t xml:space="preserve">Packaging claims, marketing</t>
  </si>
  <si>
    <t xml:space="preserve">Legal review of claims (ad hoc); sustainability reporting team.</t>
  </si>
  <si>
    <t xml:space="preserve">ISO 14021 | ISSB IFRS S1</t>
  </si>
  <si>
    <t xml:space="preserve">Keep evidence file for every environmental claim; obtain third-party assurance of climate data.</t>
  </si>
  <si>
    <t xml:space="preserve">Head of Brand Compliance</t>
  </si>
  <si>
    <t xml:space="preserve">% claims with evidence file (target 100%); regulator or complaint cases</t>
  </si>
  <si>
    <t xml:space="preserve">R-022</t>
  </si>
  <si>
    <t xml:space="preserve">Pandemic or health event disrupts workforce and plants</t>
  </si>
  <si>
    <t xml:space="preserve">Due to a new outbreak, absenteeism could reduce plant output and disrupt logistics, although remote capability and cross-training reduce exposure.</t>
  </si>
  <si>
    <t xml:space="preserve">Workforce, plants</t>
  </si>
  <si>
    <t xml:space="preserve">Pandemic plan; cross-trained operators; proven remote work capability.</t>
  </si>
  <si>
    <t xml:space="preserve">ISO 22301 | ISO 45001</t>
  </si>
  <si>
    <t xml:space="preserve">Strong</t>
  </si>
  <si>
    <t xml:space="preserve">Accept</t>
  </si>
  <si>
    <t xml:space="preserve">Accept residual risk; test pandemic plan annually.</t>
  </si>
  <si>
    <t xml:space="preserve">Absence rate vs baseline; plan test completed</t>
  </si>
  <si>
    <t xml:space="preserve">R-023</t>
  </si>
  <si>
    <t xml:space="preserve">Compromise of privileged and domain admin accounts</t>
  </si>
  <si>
    <t xml:space="preserve">Due to credential theft or weak admin hygiene, an attacker could gain domain-level control, enabling mass data theft, ransomware deployment and persistent access.</t>
  </si>
  <si>
    <t xml:space="preserve">Active Directory, Entra ID, admin accounts</t>
  </si>
  <si>
    <t xml:space="preserve">Separate admin accounts; PAM vault with session recording; tiered admin model (partial).</t>
  </si>
  <si>
    <t xml:space="preserve">ISO 27001 A.8.2, A.5.18 | NIST PR.AA | CIS 5, 6</t>
  </si>
  <si>
    <t xml:space="preserve">Complete tiered admin model; enforce just-in-time admin access; rotate break-glass credentials.</t>
  </si>
  <si>
    <t xml:space="preserve">Head of Identity &amp; Access</t>
  </si>
  <si>
    <t xml:space="preserve">% privileged accounts in PAM (target 100%); standing admin accounts</t>
  </si>
  <si>
    <t xml:space="preserve">R-024</t>
  </si>
  <si>
    <t xml:space="preserve">MFA fatigue and push-bombing attacks</t>
  </si>
  <si>
    <t xml:space="preserve">Attackers flood users with MFA prompts until one is approved, bypassing authentication and gaining access to email and VPN.</t>
  </si>
  <si>
    <t xml:space="preserve">Corporate SSO, VPN</t>
  </si>
  <si>
    <t xml:space="preserve">Push-based MFA; number matching on VPN only; lockout after repeated denials.</t>
  </si>
  <si>
    <t xml:space="preserve">ISO 27001 A.8.5 | NIST PR.AA | CIS 6</t>
  </si>
  <si>
    <t xml:space="preserve">Enable number matching and location context everywhere; move high-risk users to FIDO2 keys.</t>
  </si>
  <si>
    <t xml:space="preserve">MFA denial spikes per week; % users on phishing-resistant MFA</t>
  </si>
  <si>
    <t xml:space="preserve">R-025</t>
  </si>
  <si>
    <t xml:space="preserve">Orphaned and dormant accounts after offboarding</t>
  </si>
  <si>
    <t xml:space="preserve">Leavers and role changes are not always reflected in all systems, leaving active accounts that could be misused.</t>
  </si>
  <si>
    <t xml:space="preserve">HR-linked systems, SaaS apps</t>
  </si>
  <si>
    <t xml:space="preserve">Manual leaver checklist; quarterly dormant account report.</t>
  </si>
  <si>
    <t xml:space="preserve">ISO 27001 A.5.16, A.5.18, A.6.5 | NIST PR.AA</t>
  </si>
  <si>
    <t xml:space="preserve">Integrate HR system with identity provider for automated deprovisioning within 24 hours.</t>
  </si>
  <si>
    <t xml:space="preserve">IAM Engineering Lead</t>
  </si>
  <si>
    <t xml:space="preserve">Leaver accounts active &gt;7 days (target 0); dormant accounts &gt;90 days</t>
  </si>
  <si>
    <t xml:space="preserve">R-026</t>
  </si>
  <si>
    <t xml:space="preserve">Privilege creep and segregation-of-duties conflicts in ERP</t>
  </si>
  <si>
    <t xml:space="preserve">Over time staff accumulate access beyond role needs, enabling fraud or accidental changes and failing segregation of duties.</t>
  </si>
  <si>
    <t xml:space="preserve">ERP, finance systems</t>
  </si>
  <si>
    <t xml:space="preserve">Role-based access; annual access recertification; limited SoD rule set.</t>
  </si>
  <si>
    <t xml:space="preserve">ISO 27001 A.5.3, A.5.15, A.5.18 | NIST PR.AA | ITGC</t>
  </si>
  <si>
    <t xml:space="preserve">Run SoD conflict analysis; move finance roles to quarterly recertification.</t>
  </si>
  <si>
    <t xml:space="preserve">ERP Security Lead</t>
  </si>
  <si>
    <t xml:space="preserve">Open SoD conflicts; overdue access reviews</t>
  </si>
  <si>
    <t xml:space="preserve">R-027</t>
  </si>
  <si>
    <t xml:space="preserve">Service account and API key sprawl with static credentials</t>
  </si>
  <si>
    <t xml:space="preserve">Non-human accounts with non-expiring secrets are rarely reviewed, offering attackers stealthy, long-lived access.</t>
  </si>
  <si>
    <t xml:space="preserve">Service accounts, API keys, automation</t>
  </si>
  <si>
    <t xml:space="preserve">Service account register (incomplete); some secrets held in a vault.</t>
  </si>
  <si>
    <t xml:space="preserve">ISO 27001 A.5.17, A.8.2 | NIST PR.AA | CIS 5</t>
  </si>
  <si>
    <t xml:space="preserve">Inventory all service accounts; migrate secrets to vault with automatic rotation.</t>
  </si>
  <si>
    <t xml:space="preserve">Platform Security Lead</t>
  </si>
  <si>
    <t xml:space="preserve">% service accounts with owner and rotation; secrets older than 365 days</t>
  </si>
  <si>
    <t xml:space="preserve">R-028</t>
  </si>
  <si>
    <t xml:space="preserve">Credential stuffing against customer and dealer ordering portal</t>
  </si>
  <si>
    <t xml:space="preserve">Attackers reuse stolen passwords at scale against the ordering portal, causing account takeover, fraudulent orders and support costs.</t>
  </si>
  <si>
    <t xml:space="preserve">Dealer and customer portal</t>
  </si>
  <si>
    <t xml:space="preserve">Chief Digital Officer</t>
  </si>
  <si>
    <t xml:space="preserve">WAF with rate limiting; CAPTCHA; breached-password check (planned).</t>
  </si>
  <si>
    <t xml:space="preserve">ISO 27001 A.8.5, A.8.20 | NIST PR.AA, DE.CM | OWASP OAT-008</t>
  </si>
  <si>
    <t xml:space="preserve">Enable breached-password screening; offer passkeys and optional MFA for dealers.</t>
  </si>
  <si>
    <t xml:space="preserve">Portal Product Owner</t>
  </si>
  <si>
    <t xml:space="preserve">Credential stuffing attempts blocked per month; account takeover incidents</t>
  </si>
  <si>
    <t xml:space="preserve">R-029</t>
  </si>
  <si>
    <t xml:space="preserve">Weak access governance for contractors and temporary staff</t>
  </si>
  <si>
    <t xml:space="preserve">Third-party staff often keep access beyond contract end dates, and shared accounts are used on plant sites.</t>
  </si>
  <si>
    <t xml:space="preserve">Contractor accounts, plant systems</t>
  </si>
  <si>
    <t xml:space="preserve">Contractor sponsor required for access; end dates set inconsistently.</t>
  </si>
  <si>
    <t xml:space="preserve">ISO 27001 A.5.16, A.5.18 | NIST PR.AA, GV.SC</t>
  </si>
  <si>
    <t xml:space="preserve">Mandatory expiry dates on all contractor accounts; ban shared accounts.</t>
  </si>
  <si>
    <t xml:space="preserve">Contractor accounts without expiry; shared accounts in use</t>
  </si>
  <si>
    <t xml:space="preserve">R-030</t>
  </si>
  <si>
    <t xml:space="preserve">Session token theft by infostealer malware bypasses MFA</t>
  </si>
  <si>
    <t xml:space="preserve">Malware on unmanaged devices steals browser session cookies, letting attackers hijack authenticated sessions to cloud and SaaS apps.</t>
  </si>
  <si>
    <t xml:space="preserve">Cloud and SaaS sessions</t>
  </si>
  <si>
    <t xml:space="preserve">EDR on corporate devices; conditional access with device compliance (partial); short admin session lifetimes.</t>
  </si>
  <si>
    <t xml:space="preserve">ISO 27001 A.8.1, A.8.5, A.8.7 | NIST PR.AA, DE.CM</t>
  </si>
  <si>
    <t xml:space="preserve">Enforce device-bound sessions; block unmanaged devices from sensitive apps.</t>
  </si>
  <si>
    <t xml:space="preserve">% sensitive app sessions from compliant devices; infostealer detections</t>
  </si>
  <si>
    <t xml:space="preserve">R-031</t>
  </si>
  <si>
    <t xml:space="preserve">Cyber: Network &amp; Infrastructure</t>
  </si>
  <si>
    <t xml:space="preserve">Unpatched vulnerabilities on internet-facing systems</t>
  </si>
  <si>
    <t xml:space="preserve">Slow patching and incomplete asset visibility leave exploitable flaws on public systems, enabling intrusion and data theft.</t>
  </si>
  <si>
    <t xml:space="preserve">Web servers, firewalls, VPN</t>
  </si>
  <si>
    <t xml:space="preserve">Head of IT Operations</t>
  </si>
  <si>
    <t xml:space="preserve">Monthly patch cycle; quarterly vulnerability scans.</t>
  </si>
  <si>
    <t xml:space="preserve">ISO 27001 A.8.8, A.8.9 | NIST ID.RA, PR.PS | CIS 7</t>
  </si>
  <si>
    <t xml:space="preserve">Introduce risk-based patch SLAs (critical within 7 days); weekly external scans.</t>
  </si>
  <si>
    <t xml:space="preserve">Infrastructure Lead</t>
  </si>
  <si>
    <t xml:space="preserve">% critical vulns patched in SLA; critical vulns open &gt;30 days</t>
  </si>
  <si>
    <t xml:space="preserve">R-032</t>
  </si>
  <si>
    <t xml:space="preserve">Zero-day exploitation of VPN and edge appliances</t>
  </si>
  <si>
    <t xml:space="preserve">Attackers increasingly target firewall and VPN appliances with zero-day flaws, gaining a foothold before patches exist.</t>
  </si>
  <si>
    <t xml:space="preserve">VPN, firewalls, load balancers</t>
  </si>
  <si>
    <t xml:space="preserve">Vendor advisories monitored; edge device inventory; geo-blocking.</t>
  </si>
  <si>
    <t xml:space="preserve">ISO 27001 A.8.8, A.8.20, A.8.21 | NIST ID.RA, PR.IR, DE.CM</t>
  </si>
  <si>
    <t xml:space="preserve">Adopt zero-trust access to replace legacy VPN; add edge device integrity monitoring.</t>
  </si>
  <si>
    <t xml:space="preserve">Head of Network Engineering</t>
  </si>
  <si>
    <t xml:space="preserve">Time to mitigate edge zero-days (target &lt;48h); % apps behind ZTNA</t>
  </si>
  <si>
    <t xml:space="preserve">R-033</t>
  </si>
  <si>
    <t xml:space="preserve">End-of-life operating systems and software in production</t>
  </si>
  <si>
    <t xml:space="preserve">Unsupported systems no longer receive security patches, creating permanent exploitable weaknesses.</t>
  </si>
  <si>
    <t xml:space="preserve">6 legacy Windows Server hosts, old database versions</t>
  </si>
  <si>
    <t xml:space="preserve">EOL assets flagged in inventory; isolated VLAN; extended support for some hosts.</t>
  </si>
  <si>
    <t xml:space="preserve">ISO 27001 A.5.9, A.8.8 | NIST ID.AM, PR.PS | CIS 2</t>
  </si>
  <si>
    <t xml:space="preserve">Decommission or migrate EOL systems; apply compensating controls until retired.</t>
  </si>
  <si>
    <t xml:space="preserve">EOL systems in production (target 0)</t>
  </si>
  <si>
    <t xml:space="preserve">R-034</t>
  </si>
  <si>
    <t xml:space="preserve">Flat network enables lateral movement after initial compromise</t>
  </si>
  <si>
    <t xml:space="preserve">Weak segmentation between user, server and plant networks lets an attacker move quickly from one infected device to critical systems.</t>
  </si>
  <si>
    <t xml:space="preserve">Corporate and data centre networks</t>
  </si>
  <si>
    <t xml:space="preserve">VLANs by function; internal firewalls at data centre edge; limited east-west monitoring.</t>
  </si>
  <si>
    <t xml:space="preserve">ISO 27001 A.8.20, A.8.22 | NIST PR.IR | CIS 12</t>
  </si>
  <si>
    <t xml:space="preserve">Implement micro-segmentation for crown-jewel systems; restrict admin protocols between zones.</t>
  </si>
  <si>
    <t xml:space="preserve">Network Security Architect</t>
  </si>
  <si>
    <t xml:space="preserve">% crown-jewel systems micro-segmented; unexpected east-west flows</t>
  </si>
  <si>
    <t xml:space="preserve">R-035</t>
  </si>
  <si>
    <t xml:space="preserve">DDoS attack on e-commerce and ordering portal</t>
  </si>
  <si>
    <t xml:space="preserve">A volumetric or application-layer attack could make ordering services unavailable during peak season, causing lost sales and penalties.</t>
  </si>
  <si>
    <t xml:space="preserve">Public website, ordering portal</t>
  </si>
  <si>
    <t xml:space="preserve">CDN and WAF with DDoS protection; rate limiting; ISP escalation contacts.</t>
  </si>
  <si>
    <t xml:space="preserve">ISO 27001 A.8.6, A.8.20 | NIST PR.IR</t>
  </si>
  <si>
    <t xml:space="preserve">Test DDoS runbook; tune rate limits before peak season.</t>
  </si>
  <si>
    <t xml:space="preserve">Network Engineering Lead</t>
  </si>
  <si>
    <t xml:space="preserve">Portal availability (target &gt;=99.9%)</t>
  </si>
  <si>
    <t xml:space="preserve">R-036</t>
  </si>
  <si>
    <t xml:space="preserve">Misconfigured and unreviewed firewall rules</t>
  </si>
  <si>
    <t xml:space="preserve">Years of accumulated rules include overly permissive any-to-any entries that expose services unintentionally.</t>
  </si>
  <si>
    <t xml:space="preserve">Perimeter and internal firewalls</t>
  </si>
  <si>
    <t xml:space="preserve">Change approval for rule changes; annual rule review (not completed last cycle).</t>
  </si>
  <si>
    <t xml:space="preserve">ISO 27001 A.8.9, A.8.20, A.8.32 | NIST PR.PS | CIS 4, 12</t>
  </si>
  <si>
    <t xml:space="preserve">Run automated rule-base clean-up; set 6-monthly recertification.</t>
  </si>
  <si>
    <t xml:space="preserve">Network Security Engineer</t>
  </si>
  <si>
    <t xml:space="preserve">Any-any rules; rules without owner</t>
  </si>
  <si>
    <t xml:space="preserve">R-037</t>
  </si>
  <si>
    <t xml:space="preserve">Rogue devices and insecure wireless at offices and plants</t>
  </si>
  <si>
    <t xml:space="preserve">Unmanaged devices or rogue access points could give attackers a path into internal networks, especially at plants with weaker controls.</t>
  </si>
  <si>
    <t xml:space="preserve">Wi-Fi, switch ports, plant floor</t>
  </si>
  <si>
    <t xml:space="preserve">WPA3-Enterprise at HQ; network access control at HQ only.</t>
  </si>
  <si>
    <t xml:space="preserve">ISO 27001 A.8.1, A.8.20 | NIST ID.AM, PR.IR | CIS 1, 13</t>
  </si>
  <si>
    <t xml:space="preserve">Extend NAC to plants; scan for rogue access points quarterly.</t>
  </si>
  <si>
    <t xml:space="preserve">Unmanaged devices detected; sites with NAC</t>
  </si>
  <si>
    <t xml:space="preserve">R-038</t>
  </si>
  <si>
    <t xml:space="preserve">DNS hijacking, domain expiry or registrar account compromise</t>
  </si>
  <si>
    <t xml:space="preserve">Takeover of company domains or DNS records could redirect customers and staff to attacker sites or break email.</t>
  </si>
  <si>
    <t xml:space="preserve">Corporate domains, DNS</t>
  </si>
  <si>
    <t xml:space="preserve">Registrar lock on primary domains; DNSSEC on main domain; MFA on registrar account.</t>
  </si>
  <si>
    <t xml:space="preserve">ISO 27001 A.8.20, A.8.21 | NIST PR.IR, ID.AM</t>
  </si>
  <si>
    <t xml:space="preserve">Accept residual risk; add expiry alerts and annual domain inventory review.</t>
  </si>
  <si>
    <t xml:space="preserve">Domains with registry lock; days to nearest expiry</t>
  </si>
  <si>
    <t xml:space="preserve">R-039</t>
  </si>
  <si>
    <t xml:space="preserve">Cyber: Data Protection &amp; Privacy</t>
  </si>
  <si>
    <t xml:space="preserve">Personal data breach affecting customers or employees</t>
  </si>
  <si>
    <t xml:space="preserve">Due to weak access controls or exfiltration, personal data of customers, dealers or staff could be exposed, triggering GDPR notification, fines and litigation.</t>
  </si>
  <si>
    <t xml:space="preserve">CRM, HR system, loyalty database</t>
  </si>
  <si>
    <t xml:space="preserve">Data Protection Officer</t>
  </si>
  <si>
    <t xml:space="preserve">ROPA; DPIAs for new processing; encryption at rest; breach notification procedure.</t>
  </si>
  <si>
    <t xml:space="preserve">ISO 27001 A.5.34, A.8.24 | ISO 27701 | NIST PR.DS, GV.PO</t>
  </si>
  <si>
    <t xml:space="preserve">Refresh ROPA; implement field-level encryption for HR and loyalty data.</t>
  </si>
  <si>
    <t xml:space="preserve">Privacy Analyst</t>
  </si>
  <si>
    <t xml:space="preserve">Personal data incidents per quarter; overdue DPIAs</t>
  </si>
  <si>
    <t xml:space="preserve">R-040</t>
  </si>
  <si>
    <t xml:space="preserve">Unencrypted data on laptops and removable media</t>
  </si>
  <si>
    <t xml:space="preserve">Lost or stolen devices could expose locally stored sensitive data and require breach assessment.</t>
  </si>
  <si>
    <t xml:space="preserve">Laptops, USB drives</t>
  </si>
  <si>
    <t xml:space="preserve">Full-disk encryption on all corporate laptops; USB blocked by default; MDM.</t>
  </si>
  <si>
    <t xml:space="preserve">ISO 27001 A.7.9, A.8.1, A.8.24 | NIST PR.DS | CIS 3</t>
  </si>
  <si>
    <t xml:space="preserve">Completed: monitor encryption compliance quarterly.</t>
  </si>
  <si>
    <t xml:space="preserve">Endpoint Engineer</t>
  </si>
  <si>
    <t xml:space="preserve">Closed</t>
  </si>
  <si>
    <t xml:space="preserve">% devices encrypted (target 100%)</t>
  </si>
  <si>
    <t xml:space="preserve">R-041</t>
  </si>
  <si>
    <t xml:space="preserve">Malicious insider exfiltrates sensitive data</t>
  </si>
  <si>
    <t xml:space="preserve">An employee or contractor could copy customer, financial or formulation data to personal storage for sale or personal gain.</t>
  </si>
  <si>
    <t xml:space="preserve">Customer data, financials, formulations</t>
  </si>
  <si>
    <t xml:space="preserve">DLP on email and web; privileged access monitoring; HR vetting.</t>
  </si>
  <si>
    <t xml:space="preserve">ISO 27001 A.8.12, A.8.16, A.6.1 | NIST PR.DS, DE.CM</t>
  </si>
  <si>
    <t xml:space="preserve">Deploy user behaviour analytics; extend DLP to cloud storage.</t>
  </si>
  <si>
    <t xml:space="preserve">Head of Security Operations</t>
  </si>
  <si>
    <t xml:space="preserve">High-risk DLP alerts; UBA anomalies investigated</t>
  </si>
  <si>
    <t xml:space="preserve">R-042</t>
  </si>
  <si>
    <t xml:space="preserve">Poor data classification and over-retention</t>
  </si>
  <si>
    <t xml:space="preserve">Without clear labels and retention rules, sensitive data accumulates in uncontrolled locations, enlarging breach impact and compliance exposure.</t>
  </si>
  <si>
    <t xml:space="preserve">File shares, SharePoint, email archives</t>
  </si>
  <si>
    <t xml:space="preserve">Classification policy; manual labelling; retention schedule drafted.</t>
  </si>
  <si>
    <t xml:space="preserve">ISO 27001 A.5.12, A.5.13, A.8.10 | NIST ID.AM, PR.DS</t>
  </si>
  <si>
    <t xml:space="preserve">Roll out auto-labelling; enforce retention and deletion on file shares.</t>
  </si>
  <si>
    <t xml:space="preserve">Records Manager</t>
  </si>
  <si>
    <t xml:space="preserve">% repositories labelled; data past retention (TB)</t>
  </si>
  <si>
    <t xml:space="preserve">R-043</t>
  </si>
  <si>
    <t xml:space="preserve">Non-compliant cross-border personal data transfers</t>
  </si>
  <si>
    <t xml:space="preserve">Transfers of personal data between regions without valid legal mechanisms could breach privacy law and lead to orders to stop processing.</t>
  </si>
  <si>
    <t xml:space="preserve">Global HR and CRM platforms</t>
  </si>
  <si>
    <t xml:space="preserve">Standard contractual clauses; transfer impact assessments for main vendors.</t>
  </si>
  <si>
    <t xml:space="preserve">ISO 27001 A.5.31, A.5.34 | ISO 27701 | NIST GV.OC</t>
  </si>
  <si>
    <t xml:space="preserve">Complete transfer impact assessments for all vendors; map data flows.</t>
  </si>
  <si>
    <t xml:space="preserve">Privacy Counsel</t>
  </si>
  <si>
    <t xml:space="preserve">% vendors with completed transfer assessment</t>
  </si>
  <si>
    <t xml:space="preserve">R-044</t>
  </si>
  <si>
    <t xml:space="preserve">Departing employees take trade secrets and formulations</t>
  </si>
  <si>
    <t xml:space="preserve">Staff leaving for competitors could take recipes, supplier terms or R&amp;D data, causing loss of competitive advantage.</t>
  </si>
  <si>
    <t xml:space="preserve">Recipes, R&amp;D files</t>
  </si>
  <si>
    <t xml:space="preserve">NDAs; offboarding checklist; DLP monitoring on R&amp;D share.</t>
  </si>
  <si>
    <t xml:space="preserve">ISO 27001 A.6.5, A.6.6, A.8.12 | NIST PR.DS</t>
  </si>
  <si>
    <t xml:space="preserve">Review data activity of leavers; restrict bulk download from R&amp;D repositories.</t>
  </si>
  <si>
    <t xml:space="preserve">Head of R&amp;D Operations</t>
  </si>
  <si>
    <t xml:space="preserve">Bulk downloads by leavers; NDAs signed (target 100%)</t>
  </si>
  <si>
    <t xml:space="preserve">R-045</t>
  </si>
  <si>
    <t xml:space="preserve">Backup failure or inability to restore after an attack</t>
  </si>
  <si>
    <t xml:space="preserve">Untested or compromised backups may be unusable when needed, prolonging recovery from ransomware or data corruption.</t>
  </si>
  <si>
    <t xml:space="preserve">Backup platform, ERP, databases</t>
  </si>
  <si>
    <t xml:space="preserve">Daily encrypted backups; failed-job alerts; ad hoc restore tests.</t>
  </si>
  <si>
    <t xml:space="preserve">ISO 27001 A.8.13, A.8.14 | NIST PR.DS, RC.RP | CIS 11</t>
  </si>
  <si>
    <t xml:space="preserve">Run quarterly restore tests of tier-1 systems; keep immutable copy in a separate account.</t>
  </si>
  <si>
    <t xml:space="preserve">Backup success rate (target &gt;=99%); restore test pass rate</t>
  </si>
  <si>
    <t xml:space="preserve">R-046</t>
  </si>
  <si>
    <t xml:space="preserve">Misdirected emails and over-shared links expose data</t>
  </si>
  <si>
    <t xml:space="preserve">Everyday mistakes such as wrong recipients or open sharing links can expose confidential data externally.</t>
  </si>
  <si>
    <t xml:space="preserve">Email, collaboration tools</t>
  </si>
  <si>
    <t xml:space="preserve">Awareness training; external recipient warnings; link expiry (partial).</t>
  </si>
  <si>
    <t xml:space="preserve">ISO 27001 A.5.14, A.8.12, A.6.3 | NIST PR.DS, PR.AT</t>
  </si>
  <si>
    <t xml:space="preserve">Enable DLP policies for external sharing; default links to internal-only.</t>
  </si>
  <si>
    <t xml:space="preserve">Collaboration Platform Lead</t>
  </si>
  <si>
    <t xml:space="preserve">External share incidents; % links with expiry</t>
  </si>
  <si>
    <t xml:space="preserve">R-047</t>
  </si>
  <si>
    <t xml:space="preserve">Cyber: Application &amp; Cloud</t>
  </si>
  <si>
    <t xml:space="preserve">Misconfigured cloud storage exposes sensitive data</t>
  </si>
  <si>
    <t xml:space="preserve">Manual configuration errors or excessive permissions could expose storage or databases publicly, causing a data breach and notification duties.</t>
  </si>
  <si>
    <t xml:space="preserve">Cloud storage, databases</t>
  </si>
  <si>
    <t xml:space="preserve">Head of Cloud Platform</t>
  </si>
  <si>
    <t xml:space="preserve">Infrastructure-as-code with peer review; CSPM alerts; default-deny storage policy.</t>
  </si>
  <si>
    <t xml:space="preserve">ISO 27001 A.5.23, A.8.9 | NIST PR.PS, ID.RA | CIS 4</t>
  </si>
  <si>
    <t xml:space="preserve">Enforce policy-as-code guardrails; auto-remediate public storage.</t>
  </si>
  <si>
    <t xml:space="preserve">Cloud Security Engineer</t>
  </si>
  <si>
    <t xml:space="preserve">Public storage resources (target 0); CSPM high findings &gt;14 days</t>
  </si>
  <si>
    <t xml:space="preserve">R-048</t>
  </si>
  <si>
    <t xml:space="preserve">Insecure code in internally developed applications</t>
  </si>
  <si>
    <t xml:space="preserve">Gaps in secure development practice could ship exploitable flaws to production in customer-facing apps.</t>
  </si>
  <si>
    <t xml:space="preserve">Customer web and mobile apps</t>
  </si>
  <si>
    <t xml:space="preserve">Head of Engineering</t>
  </si>
  <si>
    <t xml:space="preserve">SAST in CI; mandatory peer review; annual penetration test.</t>
  </si>
  <si>
    <t xml:space="preserve">ISO 27001 A.8.25, A.8.28, A.8.29 | NIST PR.PS | OWASP ASVS</t>
  </si>
  <si>
    <t xml:space="preserve">Add DAST to staging; secure coding training for all developers.</t>
  </si>
  <si>
    <t xml:space="preserve">DevSecOps Lead</t>
  </si>
  <si>
    <t xml:space="preserve">Critical code vulns &gt;30 days; % repos with SAST</t>
  </si>
  <si>
    <t xml:space="preserve">R-049</t>
  </si>
  <si>
    <t xml:space="preserve">Vulnerable open-source dependencies and software supply chain</t>
  </si>
  <si>
    <t xml:space="preserve">Third-party libraries and build tooling can contain known flaws or be maliciously tampered with, compromising applications and pipelines.</t>
  </si>
  <si>
    <t xml:space="preserve">CI/CD pipelines, code repositories</t>
  </si>
  <si>
    <t xml:space="preserve">Dependency scan on main branch; private package mirror (partial).</t>
  </si>
  <si>
    <t xml:space="preserve">ISO 27001 A.8.25, A.8.30 | NIST GV.SC, PR.PS | SLSA</t>
  </si>
  <si>
    <t xml:space="preserve">Generate SBOMs; enforce signed builds; block packages with critical CVEs.</t>
  </si>
  <si>
    <t xml:space="preserve">Critical vulnerable dependencies; % builds with SBOM</t>
  </si>
  <si>
    <t xml:space="preserve">R-050</t>
  </si>
  <si>
    <t xml:space="preserve">Secrets and API keys hardcoded in code repositories</t>
  </si>
  <si>
    <t xml:space="preserve">Credentials committed to source code can be found by attackers and used to access cloud and internal services.</t>
  </si>
  <si>
    <t xml:space="preserve">Source code repositories</t>
  </si>
  <si>
    <t xml:space="preserve">Pre-commit secret scanning (opt-in); vault for new apps.</t>
  </si>
  <si>
    <t xml:space="preserve">ISO 27001 A.8.4, A.8.24, A.5.17 | NIST PR.AA, PR.DS</t>
  </si>
  <si>
    <t xml:space="preserve">Enforce secret scanning org-wide; rotate all exposed keys; purge history.</t>
  </si>
  <si>
    <t xml:space="preserve">Active secrets in repos (target 0); mean time to revoke</t>
  </si>
  <si>
    <t xml:space="preserve">R-051</t>
  </si>
  <si>
    <t xml:space="preserve">Insecure APIs expose ordering and customer data</t>
  </si>
  <si>
    <t xml:space="preserve">Weak authorisation or unmanaged APIs could let attackers read or change other customers' data at scale.</t>
  </si>
  <si>
    <t xml:space="preserve">Public and partner APIs</t>
  </si>
  <si>
    <t xml:space="preserve">API gateway with authentication; rate limiting; annual API penetration test.</t>
  </si>
  <si>
    <t xml:space="preserve">ISO 27001 A.8.26, A.8.20 | NIST PR.PS | OWASP API Top 10</t>
  </si>
  <si>
    <t xml:space="preserve">Inventory shadow APIs; add schema validation and object-level authorisation tests.</t>
  </si>
  <si>
    <t xml:space="preserve">API Platform Lead</t>
  </si>
  <si>
    <t xml:space="preserve">% APIs behind gateway; shadow APIs found</t>
  </si>
  <si>
    <t xml:space="preserve">R-052</t>
  </si>
  <si>
    <t xml:space="preserve">Cloud IAM over-permissioning enables privilege escalation</t>
  </si>
  <si>
    <t xml:space="preserve">Excessive cloud roles let a compromised identity reach far more resources than needed.</t>
  </si>
  <si>
    <t xml:space="preserve">Cloud accounts and roles</t>
  </si>
  <si>
    <t xml:space="preserve">Role templates; quarterly review of admin roles; CIEM trial.</t>
  </si>
  <si>
    <t xml:space="preserve">ISO 27001 A.5.15, A.8.2 | NIST PR.AA | CIS 5, 6</t>
  </si>
  <si>
    <t xml:space="preserve">Adopt least-privilege roles through CIEM; remove unused permissions.</t>
  </si>
  <si>
    <t xml:space="preserve">Unused permissions; identities with admin rights</t>
  </si>
  <si>
    <t xml:space="preserve">R-053</t>
  </si>
  <si>
    <t xml:space="preserve">Shadow IT and unapproved SaaS usage</t>
  </si>
  <si>
    <t xml:space="preserve">Staff may store company data in unvetted tools, creating unmanaged data copies and unknown vendor risk.</t>
  </si>
  <si>
    <t xml:space="preserve">SaaS applications, company data</t>
  </si>
  <si>
    <t xml:space="preserve">Approved software catalogue; web proxy; partial SaaS discovery.</t>
  </si>
  <si>
    <t xml:space="preserve">ISO 27001 A.5.9, A.5.10, A.5.23 | NIST ID.AM, GV.SC</t>
  </si>
  <si>
    <t xml:space="preserve">Accept residual risk; review SaaS discovery quarterly and onboard high-use tools.</t>
  </si>
  <si>
    <t xml:space="preserve">IT Service Manager</t>
  </si>
  <si>
    <t xml:space="preserve">Unapproved apps holding company data</t>
  </si>
  <si>
    <t xml:space="preserve">R-054</t>
  </si>
  <si>
    <t xml:space="preserve">Compromise of the collaboration and email tenant</t>
  </si>
  <si>
    <t xml:space="preserve">An attacker controlling the Microsoft 365 tenant could read email, create forwarding rules and spread phishing internally.</t>
  </si>
  <si>
    <t xml:space="preserve">Microsoft 365 tenant</t>
  </si>
  <si>
    <t xml:space="preserve">Baseline security configuration; conditional access; audit logging; Secure Score tracking.</t>
  </si>
  <si>
    <t xml:space="preserve">ISO 27001 A.8.9, A.8.15, A.8.5 | NIST PR.PS, PR.AA, DE.CM</t>
  </si>
  <si>
    <t xml:space="preserve">Disable legacy authentication; alert on mailbox rules and risky OAuth consent.</t>
  </si>
  <si>
    <t xml:space="preserve">Secure Score; risky OAuth apps</t>
  </si>
  <si>
    <t xml:space="preserve">R-055</t>
  </si>
  <si>
    <t xml:space="preserve">Uncontrolled changes cause outages and security gaps</t>
  </si>
  <si>
    <t xml:space="preserve">Unreviewed changes to production systems could introduce vulnerabilities or cause outages.</t>
  </si>
  <si>
    <t xml:space="preserve">Production systems</t>
  </si>
  <si>
    <t xml:space="preserve">Change advisory board; standard change templates; rollback plans.</t>
  </si>
  <si>
    <t xml:space="preserve">ISO 27001 A.8.32, A.8.31 | NIST PR.PS</t>
  </si>
  <si>
    <t xml:space="preserve">Completed: monitor change failure rate.</t>
  </si>
  <si>
    <t xml:space="preserve">Change Manager</t>
  </si>
  <si>
    <t xml:space="preserve">Change failure rate (target &lt;5%)</t>
  </si>
  <si>
    <t xml:space="preserve">R-056</t>
  </si>
  <si>
    <t xml:space="preserve">Container and Kubernetes misconfiguration</t>
  </si>
  <si>
    <t xml:space="preserve">Insecure cluster settings or vulnerable images could allow container escape or lateral movement in the cloud.</t>
  </si>
  <si>
    <t xml:space="preserve">Container platform</t>
  </si>
  <si>
    <t xml:space="preserve">Image scanning in registry; baseline cluster policies; limited runtime monitoring.</t>
  </si>
  <si>
    <t xml:space="preserve">ISO 27001 A.8.9, A.8.27 | NIST PR.PS, DE.CM | CIS Kubernetes Benchmark</t>
  </si>
  <si>
    <t xml:space="preserve">Enforce admission control policies; add runtime threat detection.</t>
  </si>
  <si>
    <t xml:space="preserve">Platform Engineering Lead</t>
  </si>
  <si>
    <t xml:space="preserve">Clusters failing CIS benchmark; critical image vulns</t>
  </si>
  <si>
    <t xml:space="preserve">R-057</t>
  </si>
  <si>
    <t xml:space="preserve">Cyber: Threat &amp; Incident Response</t>
  </si>
  <si>
    <t xml:space="preserve">Inadequate logging and monitoring delays detection</t>
  </si>
  <si>
    <t xml:space="preserve">Log coverage gaps and business-hours-only monitoring mean intrusions may go undetected, increasing breach scope and cost.</t>
  </si>
  <si>
    <t xml:space="preserve">SIEM, cloud and SaaS logs</t>
  </si>
  <si>
    <t xml:space="preserve">Central log collection for servers; SIEM with baseline use cases; business-hours monitoring.</t>
  </si>
  <si>
    <t xml:space="preserve">ISO 27001 A.8.15, A.8.16 | NIST DE.CM, DE.AE | CIS 8</t>
  </si>
  <si>
    <t xml:space="preserve">Onboard cloud and SaaS logs; engage MDR provider for 24x7 coverage.</t>
  </si>
  <si>
    <t xml:space="preserve">Mean time to detect; % critical assets sending logs</t>
  </si>
  <si>
    <t xml:space="preserve">R-058</t>
  </si>
  <si>
    <t xml:space="preserve">Immature incident response capability</t>
  </si>
  <si>
    <t xml:space="preserve">Infrequent exercises and unclear roles could make the response to a major incident slow or uncoordinated.</t>
  </si>
  <si>
    <t xml:space="preserve">Incident response process</t>
  </si>
  <si>
    <t xml:space="preserve">Incident response plan; on-call roster; IR retainer with external firm.</t>
  </si>
  <si>
    <t xml:space="preserve">ISO 27001 A.5.24, A.5.25, A.5.26 | NIST RS.MA, RS.CO</t>
  </si>
  <si>
    <t xml:space="preserve">Hold biannual executive tabletop exercises; update communications playbooks.</t>
  </si>
  <si>
    <t xml:space="preserve">Incident Response Lead</t>
  </si>
  <si>
    <t xml:space="preserve">Exercises completed vs planned; time to declare incident</t>
  </si>
  <si>
    <t xml:space="preserve">R-059</t>
  </si>
  <si>
    <t xml:space="preserve">Business email compromise targeting finance</t>
  </si>
  <si>
    <t xml:space="preserve">Attackers impersonating suppliers or executives could trick finance staff into paying fraudulent invoices.</t>
  </si>
  <si>
    <t xml:space="preserve">Email, accounts payable</t>
  </si>
  <si>
    <t xml:space="preserve">Email filtering; call-back verification for bank changes; dual approval over $50k.</t>
  </si>
  <si>
    <t xml:space="preserve">ISO 27001 A.5.14, A.6.3 | NIST PR.AT, DE.CM</t>
  </si>
  <si>
    <t xml:space="preserve">Add external-sender banners and lookalike domain monitoring; run finance fraud drills.</t>
  </si>
  <si>
    <t xml:space="preserve">BEC attempts blocked; payments held for verification</t>
  </si>
  <si>
    <t xml:space="preserve">R-060</t>
  </si>
  <si>
    <t xml:space="preserve">Insider sabotage by a disgruntled employee or administrator</t>
  </si>
  <si>
    <t xml:space="preserve">A privileged insider could delete data or disrupt systems in retaliation, causing outage and recovery cost.</t>
  </si>
  <si>
    <t xml:space="preserve">Production systems, admin consoles</t>
  </si>
  <si>
    <t xml:space="preserve">Background checks; access logging; four-eyes approval on destructive actions.</t>
  </si>
  <si>
    <t xml:space="preserve">ISO 27001 A.6.1, A.8.2, A.8.15 | NIST PR.AA, DE.CM</t>
  </si>
  <si>
    <t xml:space="preserve">Add alerts for mass deletions; HR trigger for high-risk exits.</t>
  </si>
  <si>
    <t xml:space="preserve">Privileged destructive actions without approval</t>
  </si>
  <si>
    <t xml:space="preserve">R-061</t>
  </si>
  <si>
    <t xml:space="preserve">Ransomware attack on corporate IT systems</t>
  </si>
  <si>
    <t xml:space="preserve">Ransomware could encrypt ERP, file servers and endpoints, with double extortion threatening to publish stolen data.</t>
  </si>
  <si>
    <t xml:space="preserve">ERP, file servers, endpoints</t>
  </si>
  <si>
    <t xml:space="preserve">EDR on endpoints; email filtering; offline backups (not fully tested); incident response plan.</t>
  </si>
  <si>
    <t xml:space="preserve">ISO 27001 A.8.7, A.8.13, A.5.24 | NIST PR.PS, RS.MA, RC.RP | CIS 10, 11</t>
  </si>
  <si>
    <t xml:space="preserve">Deploy immutable backups; extend EDR to 100%; run ransomware tabletop; agree IR and forensics retainer.</t>
  </si>
  <si>
    <t xml:space="preserve">% endpoints with EDR; recovery time in restore test vs RTO</t>
  </si>
  <si>
    <t xml:space="preserve">R-062</t>
  </si>
  <si>
    <t xml:space="preserve">Advanced persistent threat targeting trade secrets</t>
  </si>
  <si>
    <t xml:space="preserve">A well-resourced actor could quietly steal formulations and strategic plans over months.</t>
  </si>
  <si>
    <t xml:space="preserve">R&amp;D data, strategic plans</t>
  </si>
  <si>
    <t xml:space="preserve">Network monitoring on R&amp;D segment; access restrictions; threat briefings.</t>
  </si>
  <si>
    <t xml:space="preserve">ISO 27001 A.5.7, A.8.16 | NIST ID.RA, DE.AE</t>
  </si>
  <si>
    <t xml:space="preserve">Run quarterly threat hunting; join industry information-sharing group.</t>
  </si>
  <si>
    <t xml:space="preserve">Threat Intelligence Lead</t>
  </si>
  <si>
    <t xml:space="preserve">Hunt findings per quarter; indicators ingested</t>
  </si>
  <si>
    <t xml:space="preserve">R-063</t>
  </si>
  <si>
    <t xml:space="preserve">Threat intelligence not integrated into detection</t>
  </si>
  <si>
    <t xml:space="preserve">Without usable threat intelligence, new attacker techniques may be missed by monitoring tools.</t>
  </si>
  <si>
    <t xml:space="preserve">SOC tooling</t>
  </si>
  <si>
    <t xml:space="preserve">Vendor threat feeds into SIEM; ad hoc advisories.</t>
  </si>
  <si>
    <t xml:space="preserve">ISO 27001 A.5.7 | NIST ID.RA, DE.AE</t>
  </si>
  <si>
    <t xml:space="preserve">Automate indicator ingestion; map detections to MITRE ATT&amp;CK.</t>
  </si>
  <si>
    <t xml:space="preserve">% detections mapped to ATT&amp;CK; indicators matched</t>
  </si>
  <si>
    <t xml:space="preserve">R-064</t>
  </si>
  <si>
    <t xml:space="preserve">Failure to meet regulatory breach notification deadlines</t>
  </si>
  <si>
    <t xml:space="preserve">Delays in assessing and reporting a breach could breach legal deadlines (e.g. 72 hours under GDPR) and add penalties.</t>
  </si>
  <si>
    <t xml:space="preserve">Incident and legal processes</t>
  </si>
  <si>
    <t xml:space="preserve">Breach notification procedure; legal on call; regulator contact list.</t>
  </si>
  <si>
    <t xml:space="preserve">ISO 27001 A.5.24, A.5.31, A.5.34 | NIST RS.CO, GV.OC</t>
  </si>
  <si>
    <t xml:space="preserve">Pre-draft notification templates per jurisdiction; add 72-hour clock to IR playbook.</t>
  </si>
  <si>
    <t xml:space="preserve">Time to regulatory decision in exercises; templates maintained</t>
  </si>
  <si>
    <t xml:space="preserve">R-065</t>
  </si>
  <si>
    <t xml:space="preserve">Security tool sprawl and alert fatigue in the SOC</t>
  </si>
  <si>
    <t xml:space="preserve">Too many overlapping tools and noisy alerts could cause analysts to miss genuine incidents.</t>
  </si>
  <si>
    <t xml:space="preserve">SOC tooling and analysts</t>
  </si>
  <si>
    <t xml:space="preserve">Quarterly alert tuning; triage playbooks; ticketing integration.</t>
  </si>
  <si>
    <t xml:space="preserve">ISO 27001 A.8.16 | NIST DE.AE, GV.RR</t>
  </si>
  <si>
    <t xml:space="preserve">Consolidate overlapping tools; automate top 10 alert types with SOAR.</t>
  </si>
  <si>
    <t xml:space="preserve">SOC Engineering Lead</t>
  </si>
  <si>
    <t xml:space="preserve">Alerts per analyst per shift; false positive rate</t>
  </si>
  <si>
    <t xml:space="preserve">R-066</t>
  </si>
  <si>
    <t xml:space="preserve">Third-party vendor breach exposes company data</t>
  </si>
  <si>
    <t xml:space="preserve">A breach at a payroll, logistics or marketing vendor could expose Meridian data and disrupt services.</t>
  </si>
  <si>
    <t xml:space="preserve">Payroll, logistics and marketing vendors</t>
  </si>
  <si>
    <t xml:space="preserve">Risk assessments for critical vendors; breach notification clauses; annual SOC 2 review.</t>
  </si>
  <si>
    <t xml:space="preserve">ISO 27001 A.5.19, A.5.20, A.5.22 | NIST GV.SC</t>
  </si>
  <si>
    <t xml:space="preserve">Extend due diligence to Tier-2 vendors; confirm cyber insurance covers contingent business interruption.</t>
  </si>
  <si>
    <t xml:space="preserve">Vendor Risk Manager</t>
  </si>
  <si>
    <t xml:space="preserve">% critical vendors with current assessment</t>
  </si>
  <si>
    <t xml:space="preserve">R-067</t>
  </si>
  <si>
    <t xml:space="preserve">Compromise of a managed service provider</t>
  </si>
  <si>
    <t xml:space="preserve">An attacker who breaches an IT service provider with privileged access could reach Meridian systems through trusted channels.</t>
  </si>
  <si>
    <t xml:space="preserve">Managed IT services, remote tools</t>
  </si>
  <si>
    <t xml:space="preserve">MSP access through jump host; MFA; contractual security terms.</t>
  </si>
  <si>
    <t xml:space="preserve">ISO 27001 A.5.21, A.5.22, A.8.2 | NIST GV.SC, PR.AA</t>
  </si>
  <si>
    <t xml:space="preserve">Move MSP access to just-in-time with session recording; add right-to-audit clauses.</t>
  </si>
  <si>
    <t xml:space="preserve">MSP sessions recorded (target 100%); standing MSP privileges</t>
  </si>
  <si>
    <t xml:space="preserve">R-068</t>
  </si>
  <si>
    <t xml:space="preserve">Insecure remote access by OT vendors to plant systems</t>
  </si>
  <si>
    <t xml:space="preserve">Vendors connecting to plant control systems through shared tools or unmonitored VPNs could introduce malware or be hijacked.</t>
  </si>
  <si>
    <t xml:space="preserve">Plant PLCs, SCADA, vendor VPN</t>
  </si>
  <si>
    <t xml:space="preserve">Per-vendor VPN accounts; some sites use shared remote tools.</t>
  </si>
  <si>
    <t xml:space="preserve">IEC 62443-2-4 | ISO 27001 A.8.20 | NIST PR.AA, PR.IR</t>
  </si>
  <si>
    <t xml:space="preserve">Centralise vendor access through an OT jump server with approval workflow and session recording.</t>
  </si>
  <si>
    <t xml:space="preserve">OT Security Engineer</t>
  </si>
  <si>
    <t xml:space="preserve">Vendor sessions via approved gateway; shared accounts</t>
  </si>
  <si>
    <t xml:space="preserve">R-069</t>
  </si>
  <si>
    <t xml:space="preserve">Legacy PLC and SCADA systems with no patch path</t>
  </si>
  <si>
    <t xml:space="preserve">Old control systems cannot be patched and may contain known flaws, so any network access could allow manipulation of production.</t>
  </si>
  <si>
    <t xml:space="preserve">Plant control systems</t>
  </si>
  <si>
    <t xml:space="preserve">Network isolation; application whitelisting on HMIs; physical access controls.</t>
  </si>
  <si>
    <t xml:space="preserve">IEC 62443 | NIST PR.IR, ID.AM</t>
  </si>
  <si>
    <t xml:space="preserve">Build lifecycle replacement plan; deploy virtual patching and passive monitoring.</t>
  </si>
  <si>
    <t xml:space="preserve">Head of Manufacturing Engineering</t>
  </si>
  <si>
    <t xml:space="preserve">% OT assets in vendor support; unmonitored OT assets</t>
  </si>
  <si>
    <t xml:space="preserve">R-070</t>
  </si>
  <si>
    <t xml:space="preserve">Industrial IoT sensors with default credentials</t>
  </si>
  <si>
    <t xml:space="preserve">Plant sensors, cameras and gateways shipped with default passwords could be taken over and used as entry points.</t>
  </si>
  <si>
    <t xml:space="preserve">Plant sensors, cameras, gateways</t>
  </si>
  <si>
    <t xml:space="preserve">Procurement checklist (new devices only); separate VLAN for IoT.</t>
  </si>
  <si>
    <t xml:space="preserve">IEC 62443-4-2 | ISO 27001 A.5.17, A.8.9 | NIST PR.PS</t>
  </si>
  <si>
    <t xml:space="preserve">Scan for default credentials; rotate passwords; require secure-by-default in tenders.</t>
  </si>
  <si>
    <t xml:space="preserve">Devices with default credentials (target 0)</t>
  </si>
  <si>
    <t xml:space="preserve">R-071</t>
  </si>
  <si>
    <t xml:space="preserve">Cloud provider concentration and outage</t>
  </si>
  <si>
    <t xml:space="preserve">Heavy reliance on one cloud provider and region means a prolonged outage could stop core applications.</t>
  </si>
  <si>
    <t xml:space="preserve">Primary cloud region</t>
  </si>
  <si>
    <t xml:space="preserve">Multi-AZ deployment; DR runbooks; defined RTO and RPO for tier-1 apps.</t>
  </si>
  <si>
    <t xml:space="preserve">ISO 27001 A.5.29, A.5.30, A.8.14 | NIST PR.IR, RC.RP</t>
  </si>
  <si>
    <t xml:space="preserve">Run annual failover test to secondary region; evaluate multi-cloud for critical workloads.</t>
  </si>
  <si>
    <t xml:space="preserve">DR test success; achieved RTO vs target</t>
  </si>
  <si>
    <t xml:space="preserve">R-072</t>
  </si>
  <si>
    <t xml:space="preserve">Counterfeit or tampered hardware in IT and OT procurement</t>
  </si>
  <si>
    <t xml:space="preserve">Tampered network or plant equipment could contain backdoors or fail unexpectedly.</t>
  </si>
  <si>
    <t xml:space="preserve">Network and plant equipment</t>
  </si>
  <si>
    <t xml:space="preserve">Approved vendor list; authorised reseller requirement; receiving inspection.</t>
  </si>
  <si>
    <t xml:space="preserve">ISO 27001 A.5.21, A.5.22 | NIST GV.SC</t>
  </si>
  <si>
    <t xml:space="preserve">Accept residual risk; maintain approved vendor list and spot-check serial numbers.</t>
  </si>
  <si>
    <t xml:space="preserve">IT Procurement Lead</t>
  </si>
  <si>
    <t xml:space="preserve">Purchases outside approved vendors</t>
  </si>
  <si>
    <t xml:space="preserve">R-073</t>
  </si>
  <si>
    <t xml:space="preserve">Weak security clauses in supplier contracts</t>
  </si>
  <si>
    <t xml:space="preserve">Older contracts lack breach notification, audit rights and security standards, limiting leverage after an incident.</t>
  </si>
  <si>
    <t xml:space="preserve">Supplier contracts</t>
  </si>
  <si>
    <t xml:space="preserve">Standard security schedule for new critical contracts; legacy contracts not updated.</t>
  </si>
  <si>
    <t xml:space="preserve">ISO 27001 A.5.20, A.5.22 | NIST GV.SC</t>
  </si>
  <si>
    <t xml:space="preserve">Update top 50 legacy contracts at renewal; require breach notification within 48 hours.</t>
  </si>
  <si>
    <t xml:space="preserve">Commercial Legal Lead</t>
  </si>
  <si>
    <t xml:space="preserve">% critical contracts with security schedule</t>
  </si>
  <si>
    <t xml:space="preserve">R-074</t>
  </si>
  <si>
    <t xml:space="preserve">Fourth-party cyber exposure through supplier subcontractors</t>
  </si>
  <si>
    <t xml:space="preserve">A supplier's own suppliers may have weak security, creating hidden paths to Meridian data and operations.</t>
  </si>
  <si>
    <t xml:space="preserve">Critical supply chain software</t>
  </si>
  <si>
    <t xml:space="preserve">Critical vendors asked to disclose key subcontractors; limited verification.</t>
  </si>
  <si>
    <t xml:space="preserve">ISO 27001 A.5.19, A.5.21 | NIST GV.SC</t>
  </si>
  <si>
    <t xml:space="preserve">Require subcontractor lists and flow-down security clauses for critical vendors.</t>
  </si>
  <si>
    <t xml:space="preserve">Critical vendors with subcontractor map</t>
  </si>
  <si>
    <t xml:space="preserve">R-075</t>
  </si>
  <si>
    <t xml:space="preserve">Cyber insurance gaps and exclusions</t>
  </si>
  <si>
    <t xml:space="preserve">Policy limits or exclusions (e.g. war, systemic events) could leave large losses uninsured after a major cyber event.</t>
  </si>
  <si>
    <t xml:space="preserve">Cyber insurance policy</t>
  </si>
  <si>
    <t xml:space="preserve">Annual policy review with broker; insurer security questionnaire completed.</t>
  </si>
  <si>
    <t xml:space="preserve">ISO 31000 6.5 | NIST GV.RM</t>
  </si>
  <si>
    <t xml:space="preserve">Review war and systemic-event exclusions; align limits to modelled ransomware loss.</t>
  </si>
  <si>
    <t xml:space="preserve">Group Risk Manager</t>
  </si>
  <si>
    <t xml:space="preserve">Policy limit vs modelled loss; exclusions reviewed</t>
  </si>
  <si>
    <t xml:space="preserve">Enterprise Risk Dashboard</t>
  </si>
  <si>
    <t xml:space="preserve">All figures calculate live from the 'Risk Register' sheet.</t>
  </si>
  <si>
    <t xml:space="preserve">Key metrics</t>
  </si>
  <si>
    <t xml:space="preserve">Risk distribution by rating</t>
  </si>
  <si>
    <t xml:space="preserve">Total risks logged</t>
  </si>
  <si>
    <t xml:space="preserve">Rating</t>
  </si>
  <si>
    <t xml:space="preserve">Inherent</t>
  </si>
  <si>
    <t xml:space="preserve">Residual</t>
  </si>
  <si>
    <t xml:space="preserve">Critical + High risks (inherent)</t>
  </si>
  <si>
    <t xml:space="preserve">Low</t>
  </si>
  <si>
    <t xml:space="preserve">Critical + High risks (residual)</t>
  </si>
  <si>
    <t xml:space="preserve">Medium</t>
  </si>
  <si>
    <t xml:space="preserve">Average inherent score</t>
  </si>
  <si>
    <t xml:space="preserve">High</t>
  </si>
  <si>
    <t xml:space="preserve">Average residual score</t>
  </si>
  <si>
    <t xml:space="preserve">Critical</t>
  </si>
  <si>
    <t xml:space="preserve">Risk reduction from controls</t>
  </si>
  <si>
    <t xml:space="preserve">Total</t>
  </si>
  <si>
    <t xml:space="preserve">Residual risks within appetite</t>
  </si>
  <si>
    <t xml:space="preserve">Open actions past target date</t>
  </si>
  <si>
    <t xml:space="preserve">Risks by category</t>
  </si>
  <si>
    <t xml:space="preserve">Risks by status</t>
  </si>
  <si>
    <t xml:space="preserve"># Risks</t>
  </si>
  <si>
    <t xml:space="preserve">Avg inherent</t>
  </si>
  <si>
    <t xml:space="preserve">Avg residual</t>
  </si>
  <si>
    <t xml:space="preserve">Risks by treatment</t>
  </si>
  <si>
    <t xml:space="preserve">Top 5 residual risks (ranked)</t>
  </si>
  <si>
    <t xml:space="preserve">Risk title</t>
  </si>
  <si>
    <t xml:space="preserve">Residual score</t>
  </si>
  <si>
    <t xml:space="preserve">Residual rating</t>
  </si>
  <si>
    <t xml:space="preserve">Risk owner</t>
  </si>
  <si>
    <t xml:space="preserve">Risk Heat Maps</t>
  </si>
  <si>
    <t xml:space="preserve">Cell values show the number of risks at each Likelihood x Impact combination (blank = none).</t>
  </si>
  <si>
    <t xml:space="preserve">Inherent risk (before controls)</t>
  </si>
  <si>
    <t xml:space="preserve">Likelihood</t>
  </si>
  <si>
    <t xml:space="preserve">Level</t>
  </si>
  <si>
    <t xml:space="preserve">Negligible</t>
  </si>
  <si>
    <t xml:space="preserve">Minor</t>
  </si>
  <si>
    <t xml:space="preserve">Moderate</t>
  </si>
  <si>
    <t xml:space="preserve">Major</t>
  </si>
  <si>
    <t xml:space="preserve">Severe</t>
  </si>
  <si>
    <t xml:space="preserve">Impact score &gt;</t>
  </si>
  <si>
    <t xml:space="preserve">Almost certain</t>
  </si>
  <si>
    <t xml:space="preserve">Likely</t>
  </si>
  <si>
    <t xml:space="preserve">Possible</t>
  </si>
  <si>
    <t xml:space="preserve">Unlikely</t>
  </si>
  <si>
    <t xml:space="preserve">Rare</t>
  </si>
  <si>
    <t xml:space="preserve">Residual risk (after controls)</t>
  </si>
  <si>
    <t xml:space="preserve">Legend:</t>
  </si>
  <si>
    <t xml:space="preserve">Scoring Criteria &amp; Risk Appetite</t>
  </si>
  <si>
    <t xml:space="preserve">Edit the blue/yellow cells to recalibrate the whole workbook.</t>
  </si>
  <si>
    <t xml:space="preserve">A. Likelihood scale</t>
  </si>
  <si>
    <t xml:space="preserve">Score</t>
  </si>
  <si>
    <t xml:space="preserve">Description</t>
  </si>
  <si>
    <t xml:space="preserve">Indicative frequency / probability</t>
  </si>
  <si>
    <t xml:space="preserve">Expected to occur in most circumstances</t>
  </si>
  <si>
    <t xml:space="preserve">Multiple times per year / &gt;70%</t>
  </si>
  <si>
    <t xml:space="preserve">Will probably occur</t>
  </si>
  <si>
    <t xml:space="preserve">About once a year / 40-70%</t>
  </si>
  <si>
    <t xml:space="preserve">Might occur at some time</t>
  </si>
  <si>
    <t xml:space="preserve">Once in 1-3 years / 20-40%</t>
  </si>
  <si>
    <t xml:space="preserve">Could occur but not expected</t>
  </si>
  <si>
    <t xml:space="preserve">Once in 3-10 years / 5-20%</t>
  </si>
  <si>
    <t xml:space="preserve">Only in exceptional circumstances</t>
  </si>
  <si>
    <t xml:space="preserve">Less often than once in 10 years / &lt;5%</t>
  </si>
  <si>
    <t xml:space="preserve">B. Impact scale (use the highest-scoring dimension)</t>
  </si>
  <si>
    <t xml:space="preserve">Financial (illustrative)</t>
  </si>
  <si>
    <t xml:space="preserve">Operational</t>
  </si>
  <si>
    <t xml:space="preserve">Regulatory / Legal</t>
  </si>
  <si>
    <t xml:space="preserve">Reputational</t>
  </si>
  <si>
    <t xml:space="preserve">&gt;$100M loss or EBITDA impact</t>
  </si>
  <si>
    <t xml:space="preserve">Multiple plants or key products unavailable &gt;2 weeks</t>
  </si>
  <si>
    <t xml:space="preserve">Licence to operate at risk; major sanction; criminal liability</t>
  </si>
  <si>
    <t xml:space="preserve">Sustained international media coverage; loss of major retail customers</t>
  </si>
  <si>
    <t xml:space="preserve">$25M-$100M</t>
  </si>
  <si>
    <t xml:space="preserve">Plant or key product line down 3 days to 2 weeks</t>
  </si>
  <si>
    <t xml:space="preserve">Formal enforcement action; material fines; import ban</t>
  </si>
  <si>
    <t xml:space="preserve">National media coverage; customer delistings</t>
  </si>
  <si>
    <t xml:space="preserve">$5M-$25M</t>
  </si>
  <si>
    <t xml:space="preserve">Production degraded 1-3 days; delivery delays</t>
  </si>
  <si>
    <t xml:space="preserve">Regulatory inquiry or reportable incident</t>
  </si>
  <si>
    <t xml:space="preserve">Limited media; customer complaints; investor questions</t>
  </si>
  <si>
    <t xml:space="preserve">$1M-$5M</t>
  </si>
  <si>
    <t xml:space="preserve">Short disruption under 1 day</t>
  </si>
  <si>
    <t xml:space="preserve">Minor non-compliance, self-identified</t>
  </si>
  <si>
    <t xml:space="preserve">Internal awareness only</t>
  </si>
  <si>
    <t xml:space="preserve">&lt;$1M</t>
  </si>
  <si>
    <t xml:space="preserve">No noticeable disruption</t>
  </si>
  <si>
    <t xml:space="preserve">No regulatory implications</t>
  </si>
  <si>
    <t xml:space="preserve">No external awareness</t>
  </si>
  <si>
    <t xml:space="preserve">C. Rating bands, required response and review frequency</t>
  </si>
  <si>
    <t xml:space="preserve">Min score</t>
  </si>
  <si>
    <t xml:space="preserve">Max score</t>
  </si>
  <si>
    <t xml:space="preserve">Required response</t>
  </si>
  <si>
    <t xml:space="preserve">Review frequency (days)</t>
  </si>
  <si>
    <t xml:space="preserve">Accept and monitor; manage through routine controls.</t>
  </si>
  <si>
    <t xml:space="preserve">Manage with defined controls; owner reviews periodically.</t>
  </si>
  <si>
    <t xml:space="preserve">Treatment plan required; senior management oversight.</t>
  </si>
  <si>
    <t xml:space="preserve">Immediate action; escalate to executive / risk committee.</t>
  </si>
  <si>
    <t xml:space="preserve">D. Risk appetite</t>
  </si>
  <si>
    <t xml:space="preserve">Residual score at or below which a risk is within appetite</t>
  </si>
  <si>
    <t xml:space="preserve">Assumption: Medium (9) or below is tolerable. Edit to match your organisation's board-approved appetite.</t>
  </si>
</sst>
</file>

<file path=xl/styles.xml><?xml version="1.0" encoding="utf-8"?>
<styleSheet xmlns="http://schemas.openxmlformats.org/spreadsheetml/2006/main">
  <numFmts count="8">
    <numFmt numFmtId="164" formatCode="General"/>
    <numFmt numFmtId="165" formatCode="yyyy\-mm\-dd"/>
    <numFmt numFmtId="166" formatCode="General"/>
    <numFmt numFmtId="167" formatCode="0.00000"/>
    <numFmt numFmtId="168" formatCode="0"/>
    <numFmt numFmtId="169" formatCode="0.0"/>
    <numFmt numFmtId="170" formatCode="0%"/>
    <numFmt numFmtId="171" formatCode="0;\-0;;@"/>
  </numFmts>
  <fonts count="19">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0"/>
      <color rgb="FFFFFFFF"/>
      <name val="Arial"/>
      <family val="0"/>
      <charset val="1"/>
    </font>
    <font>
      <b val="true"/>
      <sz val="10"/>
      <color rgb="FF000000"/>
      <name val="Arial"/>
      <family val="0"/>
      <charset val="1"/>
    </font>
    <font>
      <sz val="10"/>
      <color rgb="FF000000"/>
      <name val="Arial"/>
      <family val="0"/>
      <charset val="1"/>
    </font>
    <font>
      <i val="true"/>
      <sz val="9"/>
      <color rgb="FF595959"/>
      <name val="Arial"/>
      <family val="0"/>
      <charset val="1"/>
    </font>
    <font>
      <sz val="10"/>
      <color rgb="FF0000FF"/>
      <name val="Arial"/>
      <family val="0"/>
      <charset val="1"/>
    </font>
    <font>
      <b val="true"/>
      <sz val="10"/>
      <color rgb="FF0000FF"/>
      <name val="Arial"/>
      <family val="0"/>
      <charset val="1"/>
    </font>
    <font>
      <b val="true"/>
      <sz val="12"/>
      <color rgb="FF1F3864"/>
      <name val="Arial"/>
      <family val="0"/>
      <charset val="1"/>
    </font>
    <font>
      <b val="true"/>
      <sz val="11"/>
      <color rgb="FF000000"/>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9"/>
      <color rgb="FF595959"/>
      <name val="Arial"/>
      <family val="0"/>
      <charset val="1"/>
    </font>
    <font>
      <b val="true"/>
      <sz val="12"/>
      <color rgb="FF000000"/>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F2F2F2"/>
        <bgColor rgb="FFFFFFFF"/>
      </patternFill>
    </fill>
    <fill>
      <patternFill patternType="solid">
        <fgColor rgb="FFC6EFCE"/>
        <bgColor rgb="FFD9D9D9"/>
      </patternFill>
    </fill>
    <fill>
      <patternFill patternType="solid">
        <fgColor rgb="FFFFEB9C"/>
        <bgColor rgb="FFF8CBAD"/>
      </patternFill>
    </fill>
    <fill>
      <patternFill patternType="solid">
        <fgColor rgb="FFF8CBAD"/>
        <bgColor rgb="FFD9D9D9"/>
      </patternFill>
    </fill>
    <fill>
      <patternFill patternType="solid">
        <fgColor rgb="FFFF7C80"/>
        <bgColor rgb="FFFF99CC"/>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top" textRotation="0" wrapText="true" indent="0" shrinkToFit="false"/>
      <protection locked="true" hidden="false"/>
    </xf>
    <xf numFmtId="165" fontId="10" fillId="0"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true" applyProtection="false">
      <alignment horizontal="center" vertical="top" textRotation="0" wrapText="true" indent="0" shrinkToFit="false"/>
      <protection locked="true" hidden="false"/>
    </xf>
    <xf numFmtId="166" fontId="8"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5" fontId="8" fillId="0" borderId="1" xfId="0" applyFont="true" applyBorder="true" applyAlignment="true" applyProtection="false">
      <alignment horizontal="center" vertical="top" textRotation="0" wrapText="true" indent="0" shrinkToFit="false"/>
      <protection locked="true" hidden="false"/>
    </xf>
    <xf numFmtId="167" fontId="8"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8" fontId="13" fillId="0"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true" applyProtection="false">
      <alignment horizontal="center"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9" fontId="13" fillId="0" borderId="1" xfId="0" applyFont="true" applyBorder="true" applyAlignment="true" applyProtection="false">
      <alignment horizontal="center"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4" fontId="7" fillId="7" borderId="1" xfId="0" applyFont="true" applyBorder="true" applyAlignment="false" applyProtection="false">
      <alignment horizontal="general" vertical="bottom" textRotation="0" wrapText="false" indent="0" shrinkToFit="false"/>
      <protection locked="true" hidden="false"/>
    </xf>
    <xf numFmtId="170" fontId="13"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9" fontId="8"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71" fontId="18" fillId="5" borderId="1" xfId="0" applyFont="true" applyBorder="true" applyAlignment="true" applyProtection="false">
      <alignment horizontal="center" vertical="center" textRotation="0" wrapText="true" indent="0" shrinkToFit="false"/>
      <protection locked="true" hidden="false"/>
    </xf>
    <xf numFmtId="171" fontId="18" fillId="6" borderId="1" xfId="0" applyFont="true" applyBorder="true" applyAlignment="true" applyProtection="false">
      <alignment horizontal="center" vertical="center" textRotation="0" wrapText="true" indent="0" shrinkToFit="false"/>
      <protection locked="true" hidden="false"/>
    </xf>
    <xf numFmtId="171" fontId="18" fillId="7" borderId="1" xfId="0" applyFont="true" applyBorder="true" applyAlignment="true" applyProtection="false">
      <alignment horizontal="center" vertical="center" textRotation="0" wrapText="true" indent="0" shrinkToFit="false"/>
      <protection locked="true" hidden="false"/>
    </xf>
    <xf numFmtId="171" fontId="18" fillId="4"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1" fillId="8"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9">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F8CBAD"/>
          <bgColor rgb="FF000000"/>
        </patternFill>
      </fill>
    </dxf>
    <dxf>
      <fill>
        <patternFill patternType="solid">
          <fgColor rgb="FFFF7C80"/>
          <bgColor rgb="FF000000"/>
        </patternFill>
      </fill>
    </dxf>
    <dxf>
      <fill>
        <patternFill patternType="solid">
          <fgColor rgb="FFFFEB9C"/>
          <bgColor rgb="FF000000"/>
        </patternFill>
      </fill>
    </dxf>
    <dxf>
      <fill>
        <patternFill patternType="solid">
          <fgColor rgb="FFC6EFCE"/>
          <bgColor rgb="FF000000"/>
        </patternFill>
      </fill>
    </dxf>
    <dxf>
      <fill>
        <patternFill patternType="solid">
          <fgColor rgb="FF2E7D32"/>
          <bgColor rgb="FF000000"/>
        </patternFill>
      </fill>
    </dxf>
    <dxf>
      <fill>
        <patternFill patternType="solid">
          <fgColor rgb="FFC00000"/>
          <bgColor rgb="FF000000"/>
        </patternFill>
      </fill>
    </dxf>
    <dxf>
      <font>
        <name val="Arial"/>
        <charset val="1"/>
        <family val="0"/>
        <b val="1"/>
      </font>
      <fill>
        <patternFill>
          <bgColor rgb="FFC6EFCE"/>
        </patternFill>
      </fill>
    </dxf>
    <dxf>
      <font>
        <name val="Arial"/>
        <charset val="1"/>
        <family val="0"/>
        <b val="1"/>
      </font>
      <fill>
        <patternFill>
          <bgColor rgb="FFFFEB9C"/>
        </patternFill>
      </fill>
    </dxf>
    <dxf>
      <font>
        <name val="Arial"/>
        <charset val="1"/>
        <family val="0"/>
        <b val="1"/>
      </font>
      <fill>
        <patternFill>
          <bgColor rgb="FFF8CBAD"/>
        </patternFill>
      </fill>
    </dxf>
    <dxf>
      <font>
        <name val="Arial"/>
        <charset val="1"/>
        <family val="0"/>
        <b val="1"/>
      </font>
      <fill>
        <patternFill>
          <bgColor rgb="FFFF7C80"/>
        </patternFill>
      </fill>
    </dxf>
    <dxf>
      <font>
        <name val="Arial"/>
        <charset val="1"/>
        <family val="0"/>
        <b val="1"/>
        <color rgb="FFC00000"/>
      </font>
    </dxf>
    <dxf>
      <font>
        <name val="Arial"/>
        <charset val="1"/>
        <family val="0"/>
        <b val="1"/>
        <color rgb="FF2E7D32"/>
      </font>
    </dxf>
    <dxf>
      <fill>
        <patternFill>
          <bgColor rgb="FFFF7C80"/>
        </patternFill>
      </fill>
    </dxf>
    <dxf>
      <fill>
        <patternFill>
          <bgColor rgb="FFFFEB9C"/>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C0504D"/>
      <rgbColor rgb="FFF2F2F2"/>
      <rgbColor rgb="FFCCFFFF"/>
      <rgbColor rgb="FF660066"/>
      <rgbColor rgb="FFFF7C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8CBAD"/>
      <rgbColor rgb="FF4F81BD"/>
      <rgbColor rgb="FF33CCCC"/>
      <rgbColor rgb="FF99CC00"/>
      <rgbColor rgb="FFFFCC00"/>
      <rgbColor rgb="FFFF9900"/>
      <rgbColor rgb="FFFF6600"/>
      <rgbColor rgb="FF595959"/>
      <rgbColor rgb="FF969696"/>
      <rgbColor rgb="FF1F3864"/>
      <rgbColor rgb="FF2E7D32"/>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Inherent vs Residual Risk</a:t>
            </a:r>
          </a:p>
        </c:rich>
      </c:tx>
      <c:overlay val="0"/>
      <c:spPr>
        <a:noFill/>
        <a:ln w="0">
          <a:noFill/>
        </a:ln>
      </c:spPr>
    </c:title>
    <c:autoTitleDeleted val="0"/>
    <c:plotArea>
      <c:barChart>
        <c:barDir val="col"/>
        <c:grouping val="clustered"/>
        <c:varyColors val="0"/>
        <c:ser>
          <c:idx val="0"/>
          <c:order val="0"/>
          <c:tx>
            <c:strRef>
              <c:f>Dashboard!E5</c:f>
              <c:strCache>
                <c:ptCount val="1"/>
                <c:pt idx="0">
                  <c:v>Inherent</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Dashboard!$D$6:$D$9</c:f>
              <c:strCache>
                <c:ptCount val="4"/>
                <c:pt idx="0">
                  <c:v>Low</c:v>
                </c:pt>
                <c:pt idx="1">
                  <c:v>Medium</c:v>
                </c:pt>
                <c:pt idx="2">
                  <c:v>High</c:v>
                </c:pt>
                <c:pt idx="3">
                  <c:v>Critical</c:v>
                </c:pt>
              </c:strCache>
            </c:strRef>
          </c:cat>
          <c:val>
            <c:numRef>
              <c:f>Dashboard!$E$6:$E$9</c:f>
              <c:numCache>
                <c:formatCode>General</c:formatCode>
                <c:ptCount val="4"/>
                <c:pt idx="0">
                  <c:v>0</c:v>
                </c:pt>
                <c:pt idx="1">
                  <c:v>14</c:v>
                </c:pt>
                <c:pt idx="2">
                  <c:v>36</c:v>
                </c:pt>
                <c:pt idx="3">
                  <c:v>25</c:v>
                </c:pt>
              </c:numCache>
            </c:numRef>
          </c:val>
        </c:ser>
        <c:ser>
          <c:idx val="1"/>
          <c:order val="1"/>
          <c:tx>
            <c:strRef>
              <c:f>Dashboard!F5</c:f>
              <c:strCache>
                <c:ptCount val="1"/>
                <c:pt idx="0">
                  <c:v>Residual</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Dashboard!$D$6:$D$9</c:f>
              <c:strCache>
                <c:ptCount val="4"/>
                <c:pt idx="0">
                  <c:v>Low</c:v>
                </c:pt>
                <c:pt idx="1">
                  <c:v>Medium</c:v>
                </c:pt>
                <c:pt idx="2">
                  <c:v>High</c:v>
                </c:pt>
                <c:pt idx="3">
                  <c:v>Critical</c:v>
                </c:pt>
              </c:strCache>
            </c:strRef>
          </c:cat>
          <c:val>
            <c:numRef>
              <c:f>Dashboard!$F$6:$F$9</c:f>
              <c:numCache>
                <c:formatCode>General</c:formatCode>
                <c:ptCount val="4"/>
                <c:pt idx="0">
                  <c:v>6</c:v>
                </c:pt>
                <c:pt idx="1">
                  <c:v>57</c:v>
                </c:pt>
                <c:pt idx="2">
                  <c:v>11</c:v>
                </c:pt>
                <c:pt idx="3">
                  <c:v>1</c:v>
                </c:pt>
              </c:numCache>
            </c:numRef>
          </c:val>
        </c:ser>
        <c:gapWidth val="150"/>
        <c:overlap val="0"/>
        <c:axId val="16093770"/>
        <c:axId val="42346351"/>
      </c:barChart>
      <c:catAx>
        <c:axId val="1609377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2346351"/>
        <c:crosses val="autoZero"/>
        <c:auto val="1"/>
        <c:lblAlgn val="ctr"/>
        <c:lblOffset val="100"/>
        <c:noMultiLvlLbl val="0"/>
      </c:catAx>
      <c:valAx>
        <c:axId val="42346351"/>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Number of risks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609377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Average Score by Category: Inherent vs Residual</a:t>
            </a:r>
          </a:p>
        </c:rich>
      </c:tx>
      <c:overlay val="0"/>
      <c:spPr>
        <a:noFill/>
        <a:ln w="0">
          <a:noFill/>
        </a:ln>
      </c:spPr>
    </c:title>
    <c:autoTitleDeleted val="0"/>
    <c:plotArea>
      <c:barChart>
        <c:barDir val="bar"/>
        <c:grouping val="clustered"/>
        <c:varyColors val="0"/>
        <c:ser>
          <c:idx val="0"/>
          <c:order val="0"/>
          <c:tx>
            <c:strRef>
              <c:f>Dashboard!C16</c:f>
              <c:strCache>
                <c:ptCount val="1"/>
                <c:pt idx="0">
                  <c:v>Avg inherent</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Dashboard!$A$17:$A$29</c:f>
              <c:strCache>
                <c:ptCount val="13"/>
                <c:pt idx="0">
                  <c:v>Climate &amp; Environment</c:v>
                </c:pt>
                <c:pt idx="1">
                  <c:v>Supply Chain &amp; Logistics</c:v>
                </c:pt>
                <c:pt idx="2">
                  <c:v>Technology &amp; AI</c:v>
                </c:pt>
                <c:pt idx="3">
                  <c:v>Workforce &amp; Operating Model</c:v>
                </c:pt>
                <c:pt idx="4">
                  <c:v>Regulatory &amp; ESG</c:v>
                </c:pt>
                <c:pt idx="5">
                  <c:v>Financial &amp; Market</c:v>
                </c:pt>
                <c:pt idx="6">
                  <c:v>Operational Resilience</c:v>
                </c:pt>
                <c:pt idx="7">
                  <c:v>Cyber: Identity &amp; Access</c:v>
                </c:pt>
                <c:pt idx="8">
                  <c:v>Cyber: Network &amp; Infrastructure</c:v>
                </c:pt>
                <c:pt idx="9">
                  <c:v>Cyber: Data Protection &amp; Privacy</c:v>
                </c:pt>
                <c:pt idx="10">
                  <c:v>Cyber: Application &amp; Cloud</c:v>
                </c:pt>
                <c:pt idx="11">
                  <c:v>Cyber: Threat &amp; Incident Response</c:v>
                </c:pt>
                <c:pt idx="12">
                  <c:v>Cyber: OT &amp; Third-Party</c:v>
                </c:pt>
              </c:strCache>
            </c:strRef>
          </c:cat>
          <c:val>
            <c:numRef>
              <c:f>Dashboard!$C$17:$C$29</c:f>
              <c:numCache>
                <c:formatCode>0.0</c:formatCode>
                <c:ptCount val="13"/>
                <c:pt idx="0">
                  <c:v>15.5</c:v>
                </c:pt>
                <c:pt idx="1">
                  <c:v>14.3333333333333</c:v>
                </c:pt>
                <c:pt idx="2">
                  <c:v>13.3333333333333</c:v>
                </c:pt>
                <c:pt idx="3">
                  <c:v>11.25</c:v>
                </c:pt>
                <c:pt idx="4">
                  <c:v>12</c:v>
                </c:pt>
                <c:pt idx="5">
                  <c:v>14</c:v>
                </c:pt>
                <c:pt idx="6">
                  <c:v>9</c:v>
                </c:pt>
                <c:pt idx="7">
                  <c:v>12.7</c:v>
                </c:pt>
                <c:pt idx="8">
                  <c:v>12.25</c:v>
                </c:pt>
                <c:pt idx="9">
                  <c:v>12.125</c:v>
                </c:pt>
                <c:pt idx="10">
                  <c:v>13.2</c:v>
                </c:pt>
                <c:pt idx="11">
                  <c:v>12.3333333333333</c:v>
                </c:pt>
                <c:pt idx="12">
                  <c:v>12.8181818181818</c:v>
                </c:pt>
              </c:numCache>
            </c:numRef>
          </c:val>
        </c:ser>
        <c:ser>
          <c:idx val="1"/>
          <c:order val="1"/>
          <c:tx>
            <c:strRef>
              <c:f>Dashboard!D16</c:f>
              <c:strCache>
                <c:ptCount val="1"/>
                <c:pt idx="0">
                  <c:v>Avg residual</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Dashboard!$A$17:$A$29</c:f>
              <c:strCache>
                <c:ptCount val="13"/>
                <c:pt idx="0">
                  <c:v>Climate &amp; Environment</c:v>
                </c:pt>
                <c:pt idx="1">
                  <c:v>Supply Chain &amp; Logistics</c:v>
                </c:pt>
                <c:pt idx="2">
                  <c:v>Technology &amp; AI</c:v>
                </c:pt>
                <c:pt idx="3">
                  <c:v>Workforce &amp; Operating Model</c:v>
                </c:pt>
                <c:pt idx="4">
                  <c:v>Regulatory &amp; ESG</c:v>
                </c:pt>
                <c:pt idx="5">
                  <c:v>Financial &amp; Market</c:v>
                </c:pt>
                <c:pt idx="6">
                  <c:v>Operational Resilience</c:v>
                </c:pt>
                <c:pt idx="7">
                  <c:v>Cyber: Identity &amp; Access</c:v>
                </c:pt>
                <c:pt idx="8">
                  <c:v>Cyber: Network &amp; Infrastructure</c:v>
                </c:pt>
                <c:pt idx="9">
                  <c:v>Cyber: Data Protection &amp; Privacy</c:v>
                </c:pt>
                <c:pt idx="10">
                  <c:v>Cyber: Application &amp; Cloud</c:v>
                </c:pt>
                <c:pt idx="11">
                  <c:v>Cyber: Threat &amp; Incident Response</c:v>
                </c:pt>
                <c:pt idx="12">
                  <c:v>Cyber: OT &amp; Third-Party</c:v>
                </c:pt>
              </c:strCache>
            </c:strRef>
          </c:cat>
          <c:val>
            <c:numRef>
              <c:f>Dashboard!$D$17:$D$29</c:f>
              <c:numCache>
                <c:formatCode>0.0</c:formatCode>
                <c:ptCount val="13"/>
                <c:pt idx="0">
                  <c:v>10.5</c:v>
                </c:pt>
                <c:pt idx="1">
                  <c:v>10</c:v>
                </c:pt>
                <c:pt idx="2">
                  <c:v>8</c:v>
                </c:pt>
                <c:pt idx="3">
                  <c:v>6.75</c:v>
                </c:pt>
                <c:pt idx="4">
                  <c:v>7.66666666666667</c:v>
                </c:pt>
                <c:pt idx="5">
                  <c:v>9</c:v>
                </c:pt>
                <c:pt idx="6">
                  <c:v>7</c:v>
                </c:pt>
                <c:pt idx="7">
                  <c:v>7</c:v>
                </c:pt>
                <c:pt idx="8">
                  <c:v>8.375</c:v>
                </c:pt>
                <c:pt idx="9">
                  <c:v>7.125</c:v>
                </c:pt>
                <c:pt idx="10">
                  <c:v>7</c:v>
                </c:pt>
                <c:pt idx="11">
                  <c:v>7.44444444444445</c:v>
                </c:pt>
                <c:pt idx="12">
                  <c:v>8.27272727272727</c:v>
                </c:pt>
              </c:numCache>
            </c:numRef>
          </c:val>
        </c:ser>
        <c:gapWidth val="150"/>
        <c:overlap val="0"/>
        <c:axId val="82459680"/>
        <c:axId val="71859340"/>
      </c:barChart>
      <c:catAx>
        <c:axId val="8245968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1859340"/>
        <c:crosses val="autoZero"/>
        <c:auto val="1"/>
        <c:lblAlgn val="ctr"/>
        <c:lblOffset val="100"/>
        <c:noMultiLvlLbl val="0"/>
      </c:catAx>
      <c:valAx>
        <c:axId val="71859340"/>
        <c:scaling>
          <c:orientation val="minMax"/>
        </c:scaling>
        <c:delete val="0"/>
        <c:axPos val="l"/>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245968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2</xdr:row>
      <xdr:rowOff>131040</xdr:rowOff>
    </xdr:from>
    <xdr:to>
      <xdr:col>15</xdr:col>
      <xdr:colOff>507600</xdr:colOff>
      <xdr:row>15</xdr:row>
      <xdr:rowOff>268560</xdr:rowOff>
    </xdr:to>
    <xdr:graphicFrame>
      <xdr:nvGraphicFramePr>
        <xdr:cNvPr id="0" name="Chart 1"/>
        <xdr:cNvGraphicFramePr/>
      </xdr:nvGraphicFramePr>
      <xdr:xfrm>
        <a:off x="9586080" y="571680"/>
        <a:ext cx="53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19</xdr:row>
      <xdr:rowOff>131040</xdr:rowOff>
    </xdr:from>
    <xdr:to>
      <xdr:col>16</xdr:col>
      <xdr:colOff>256320</xdr:colOff>
      <xdr:row>37</xdr:row>
      <xdr:rowOff>40680</xdr:rowOff>
    </xdr:to>
    <xdr:graphicFrame>
      <xdr:nvGraphicFramePr>
        <xdr:cNvPr id="1" name="Chart 2"/>
        <xdr:cNvGraphicFramePr/>
      </xdr:nvGraphicFramePr>
      <xdr:xfrm>
        <a:off x="9586080" y="3981600"/>
        <a:ext cx="5759640" cy="43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05"/>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45" hidden="false" customHeight="true" outlineLevel="0" collapsed="false">
      <c r="A5" s="5" t="s">
        <v>3</v>
      </c>
      <c r="B5" s="6" t="s">
        <v>4</v>
      </c>
    </row>
    <row r="6" customFormat="false" ht="45" hidden="false" customHeight="true" outlineLevel="0" collapsed="false">
      <c r="A6" s="5" t="s">
        <v>5</v>
      </c>
      <c r="B6" s="6" t="s">
        <v>6</v>
      </c>
    </row>
    <row r="7" customFormat="false" ht="15" hidden="false" customHeight="false" outlineLevel="0" collapsed="false">
      <c r="A7" s="3" t="s">
        <v>7</v>
      </c>
      <c r="B7" s="4"/>
    </row>
    <row r="8" customFormat="false" ht="45" hidden="false" customHeight="true" outlineLevel="0" collapsed="false">
      <c r="A8" s="5" t="s">
        <v>8</v>
      </c>
      <c r="B8" s="6" t="s">
        <v>9</v>
      </c>
    </row>
    <row r="9" customFormat="false" ht="45" hidden="false" customHeight="true" outlineLevel="0" collapsed="false">
      <c r="A9" s="5" t="s">
        <v>10</v>
      </c>
      <c r="B9" s="6" t="s">
        <v>11</v>
      </c>
    </row>
    <row r="10" customFormat="false" ht="30" hidden="false" customHeight="true" outlineLevel="0" collapsed="false">
      <c r="A10" s="5" t="s">
        <v>12</v>
      </c>
      <c r="B10" s="6" t="s">
        <v>13</v>
      </c>
    </row>
    <row r="11" customFormat="false" ht="15" hidden="false" customHeight="false" outlineLevel="0" collapsed="false">
      <c r="A11" s="3" t="s">
        <v>14</v>
      </c>
      <c r="B11" s="4"/>
    </row>
    <row r="12" customFormat="false" ht="45" hidden="false" customHeight="true" outlineLevel="0" collapsed="false">
      <c r="A12" s="5" t="s">
        <v>15</v>
      </c>
      <c r="B12" s="6" t="s">
        <v>16</v>
      </c>
    </row>
    <row r="13" customFormat="false" ht="30" hidden="false" customHeight="true" outlineLevel="0" collapsed="false">
      <c r="A13" s="5" t="s">
        <v>17</v>
      </c>
      <c r="B13" s="6" t="s">
        <v>18</v>
      </c>
    </row>
    <row r="14" customFormat="false" ht="30" hidden="false" customHeight="true" outlineLevel="0" collapsed="false">
      <c r="A14" s="5" t="s">
        <v>19</v>
      </c>
      <c r="B14" s="6" t="s">
        <v>20</v>
      </c>
    </row>
    <row r="15" customFormat="false" ht="30" hidden="false" customHeight="true" outlineLevel="0" collapsed="false">
      <c r="A15" s="5" t="s">
        <v>12</v>
      </c>
      <c r="B15" s="6" t="s">
        <v>21</v>
      </c>
    </row>
    <row r="16" customFormat="false" ht="30" hidden="false" customHeight="true" outlineLevel="0" collapsed="false">
      <c r="A16" s="5" t="s">
        <v>22</v>
      </c>
      <c r="B16" s="6" t="s">
        <v>23</v>
      </c>
    </row>
    <row r="17" customFormat="false" ht="15" hidden="false" customHeight="false" outlineLevel="0" collapsed="false">
      <c r="A17" s="3" t="s">
        <v>24</v>
      </c>
      <c r="B17" s="4"/>
    </row>
    <row r="18" customFormat="false" ht="30" hidden="false" customHeight="true" outlineLevel="0" collapsed="false">
      <c r="A18" s="5" t="s">
        <v>25</v>
      </c>
      <c r="B18" s="6" t="s">
        <v>26</v>
      </c>
    </row>
    <row r="19" customFormat="false" ht="30" hidden="false" customHeight="true" outlineLevel="0" collapsed="false">
      <c r="A19" s="5" t="s">
        <v>27</v>
      </c>
      <c r="B19" s="6" t="s">
        <v>28</v>
      </c>
    </row>
    <row r="20" customFormat="false" ht="15" hidden="false" customHeight="true" outlineLevel="0" collapsed="false">
      <c r="A20" s="5" t="s">
        <v>29</v>
      </c>
      <c r="B20" s="6" t="s">
        <v>30</v>
      </c>
    </row>
    <row r="21" customFormat="false" ht="15" hidden="false" customHeight="false" outlineLevel="0" collapsed="false">
      <c r="A21" s="3" t="s">
        <v>31</v>
      </c>
      <c r="B21" s="4"/>
    </row>
    <row r="22" customFormat="false" ht="30" hidden="false" customHeight="true" outlineLevel="0" collapsed="false">
      <c r="A22" s="5" t="s">
        <v>32</v>
      </c>
      <c r="B22" s="6" t="s">
        <v>33</v>
      </c>
    </row>
    <row r="23" customFormat="false" ht="30" hidden="false" customHeight="true" outlineLevel="0" collapsed="false">
      <c r="A23" s="5" t="s">
        <v>34</v>
      </c>
      <c r="B23" s="6" t="s">
        <v>35</v>
      </c>
    </row>
    <row r="24" customFormat="false" ht="30" hidden="false" customHeight="true" outlineLevel="0" collapsed="false">
      <c r="A24" s="5" t="s">
        <v>36</v>
      </c>
      <c r="B24" s="6" t="s">
        <v>37</v>
      </c>
    </row>
    <row r="25" customFormat="false" ht="30" hidden="false" customHeight="true" outlineLevel="0" collapsed="false">
      <c r="A25" s="5" t="s">
        <v>38</v>
      </c>
      <c r="B25" s="6" t="s">
        <v>39</v>
      </c>
    </row>
    <row r="26" customFormat="false" ht="30" hidden="false" customHeight="true" outlineLevel="0" collapsed="false">
      <c r="A26" s="5" t="s">
        <v>40</v>
      </c>
      <c r="B26" s="6" t="s">
        <v>41</v>
      </c>
    </row>
    <row r="27" customFormat="false" ht="30" hidden="false" customHeight="true" outlineLevel="0" collapsed="false">
      <c r="A27" s="5" t="s">
        <v>42</v>
      </c>
      <c r="B27" s="6" t="s">
        <v>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B105"/>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19"/>
    <col collapsed="false" customWidth="true" hidden="false" outlineLevel="0" max="4" min="4" style="0" width="30"/>
    <col collapsed="false" customWidth="true" hidden="false" outlineLevel="0" max="5" min="5" style="0" width="48"/>
    <col collapsed="false" customWidth="true" hidden="false" outlineLevel="0" max="6" min="6" style="0" width="24"/>
    <col collapsed="false" customWidth="true" hidden="false" outlineLevel="0" max="7" min="7" style="0" width="20"/>
    <col collapsed="false" customWidth="true" hidden="false" outlineLevel="0" max="9" min="8" style="0" width="11"/>
    <col collapsed="false" customWidth="true" hidden="false" outlineLevel="0" max="10" min="10" style="0" width="10"/>
    <col collapsed="false" customWidth="true" hidden="false" outlineLevel="0" max="11" min="11" style="0" width="11"/>
    <col collapsed="false" customWidth="true" hidden="false" outlineLevel="0" max="12" min="12" style="0" width="44"/>
    <col collapsed="false" customWidth="true" hidden="false" outlineLevel="0" max="13" min="13" style="0" width="32"/>
    <col collapsed="false" customWidth="true" hidden="false" outlineLevel="0" max="14" min="14" style="0" width="13"/>
    <col collapsed="false" customWidth="true" hidden="false" outlineLevel="0" max="16" min="15" style="0" width="11"/>
    <col collapsed="false" customWidth="true" hidden="false" outlineLevel="0" max="17" min="17" style="0" width="10"/>
    <col collapsed="false" customWidth="true" hidden="false" outlineLevel="0" max="20" min="18" style="0" width="11"/>
    <col collapsed="false" customWidth="true" hidden="false" outlineLevel="0" max="21" min="21" style="0" width="44"/>
    <col collapsed="false" customWidth="true" hidden="false" outlineLevel="0" max="22" min="22" style="0" width="20"/>
    <col collapsed="false" customWidth="true" hidden="false" outlineLevel="0" max="24" min="23" style="0" width="12"/>
    <col collapsed="false" customWidth="true" hidden="false" outlineLevel="0" max="25" min="25" style="0" width="34"/>
    <col collapsed="false" customWidth="true" hidden="false" outlineLevel="0" max="27" min="26" style="0" width="12"/>
    <col collapsed="false" customWidth="true" hidden="true" outlineLevel="0" max="28" min="28" style="0" width="10"/>
  </cols>
  <sheetData>
    <row r="1" customFormat="false" ht="19.7" hidden="false" customHeight="false" outlineLevel="0" collapsed="false">
      <c r="A1" s="1" t="s">
        <v>44</v>
      </c>
    </row>
    <row r="2" customFormat="false" ht="15" hidden="false" customHeight="false" outlineLevel="0" collapsed="false">
      <c r="A2" s="2" t="s">
        <v>45</v>
      </c>
    </row>
    <row r="3" customFormat="false" ht="15" hidden="false" customHeight="false" outlineLevel="0" collapsed="false">
      <c r="A3" s="7" t="s">
        <v>46</v>
      </c>
    </row>
    <row r="5" customFormat="false" ht="48" hidden="false" customHeight="true" outlineLevel="0" collapsed="false">
      <c r="A5" s="8" t="s">
        <v>47</v>
      </c>
      <c r="B5" s="8" t="s">
        <v>48</v>
      </c>
      <c r="C5" s="8" t="s">
        <v>49</v>
      </c>
      <c r="D5" s="8" t="s">
        <v>50</v>
      </c>
      <c r="E5" s="8" t="s">
        <v>51</v>
      </c>
      <c r="F5" s="8" t="s">
        <v>52</v>
      </c>
      <c r="G5" s="8" t="s">
        <v>53</v>
      </c>
      <c r="H5" s="8" t="s">
        <v>54</v>
      </c>
      <c r="I5" s="8" t="s">
        <v>55</v>
      </c>
      <c r="J5" s="8" t="s">
        <v>56</v>
      </c>
      <c r="K5" s="8" t="s">
        <v>57</v>
      </c>
      <c r="L5" s="8" t="s">
        <v>58</v>
      </c>
      <c r="M5" s="8" t="s">
        <v>59</v>
      </c>
      <c r="N5" s="8" t="s">
        <v>60</v>
      </c>
      <c r="O5" s="8" t="s">
        <v>61</v>
      </c>
      <c r="P5" s="8" t="s">
        <v>62</v>
      </c>
      <c r="Q5" s="8" t="s">
        <v>63</v>
      </c>
      <c r="R5" s="8" t="s">
        <v>64</v>
      </c>
      <c r="S5" s="8" t="s">
        <v>65</v>
      </c>
      <c r="T5" s="8" t="s">
        <v>66</v>
      </c>
      <c r="U5" s="8" t="s">
        <v>67</v>
      </c>
      <c r="V5" s="8" t="s">
        <v>68</v>
      </c>
      <c r="W5" s="8" t="s">
        <v>69</v>
      </c>
      <c r="X5" s="8" t="s">
        <v>70</v>
      </c>
      <c r="Y5" s="8" t="s">
        <v>71</v>
      </c>
      <c r="Z5" s="8" t="s">
        <v>72</v>
      </c>
      <c r="AA5" s="8" t="s">
        <v>73</v>
      </c>
      <c r="AB5" s="8" t="s">
        <v>74</v>
      </c>
    </row>
    <row r="6" customFormat="false" ht="99.75" hidden="false" customHeight="true" outlineLevel="0" collapsed="false">
      <c r="A6" s="9" t="s">
        <v>75</v>
      </c>
      <c r="B6" s="10" t="n">
        <v>46035</v>
      </c>
      <c r="C6" s="11" t="s">
        <v>76</v>
      </c>
      <c r="D6" s="11" t="s">
        <v>77</v>
      </c>
      <c r="E6" s="11" t="s">
        <v>78</v>
      </c>
      <c r="F6" s="11" t="s">
        <v>79</v>
      </c>
      <c r="G6" s="11" t="s">
        <v>80</v>
      </c>
      <c r="H6" s="12" t="n">
        <v>4</v>
      </c>
      <c r="I6" s="12" t="n">
        <v>4</v>
      </c>
      <c r="J6" s="13" t="n">
        <f aca="false">IF(OR(H6="",I6=""),"",H6*I6)</f>
        <v>16</v>
      </c>
      <c r="K6" s="14" t="str">
        <f aca="false">IF(J6="","",IF(J6&gt;=Scoring!$B$24,"Critical",IF(J6&gt;=Scoring!$B$23,"High",IF(J6&gt;=Scoring!$B$22,"Medium","Low"))))</f>
        <v>Critical</v>
      </c>
      <c r="L6" s="11" t="s">
        <v>81</v>
      </c>
      <c r="M6" s="11" t="s">
        <v>82</v>
      </c>
      <c r="N6" s="9" t="s">
        <v>83</v>
      </c>
      <c r="O6" s="12" t="n">
        <v>3</v>
      </c>
      <c r="P6" s="12" t="n">
        <v>3</v>
      </c>
      <c r="Q6" s="13" t="n">
        <f aca="false">IF(OR(O6="",P6=""),"",O6*P6)</f>
        <v>9</v>
      </c>
      <c r="R6" s="14" t="str">
        <f aca="false">IF(Q6="","",IF(Q6&gt;=Scoring!$B$24,"Critical",IF(Q6&gt;=Scoring!$B$23,"High",IF(Q6&gt;=Scoring!$B$22,"Medium","Low"))))</f>
        <v>Medium</v>
      </c>
      <c r="S6" s="14" t="str">
        <f aca="false">IF(Q6="","",IF(Q6&lt;=Scoring!$B$27,"Yes","No"))</f>
        <v>Yes</v>
      </c>
      <c r="T6" s="9" t="s">
        <v>84</v>
      </c>
      <c r="U6" s="11" t="s">
        <v>85</v>
      </c>
      <c r="V6" s="11" t="s">
        <v>86</v>
      </c>
      <c r="W6" s="10" t="n">
        <v>46477</v>
      </c>
      <c r="X6" s="9" t="s">
        <v>87</v>
      </c>
      <c r="Y6" s="11" t="s">
        <v>88</v>
      </c>
      <c r="Z6" s="10" t="n">
        <v>46301</v>
      </c>
      <c r="AA6" s="15" t="n">
        <f aca="false">IF(OR(Z6="",R6=""),"",Z6+INDEX(Scoring!$E$21:$E$24,MATCH(R6,Scoring!$A$21:$A$24,0)))</f>
        <v>46481</v>
      </c>
      <c r="AB6" s="16" t="n">
        <f aca="false">IF(Q6="","",Q6+(1000-ROW())/100000)</f>
        <v>9.00994</v>
      </c>
    </row>
    <row r="7" customFormat="false" ht="99.75" hidden="false" customHeight="true" outlineLevel="0" collapsed="false">
      <c r="A7" s="9" t="s">
        <v>89</v>
      </c>
      <c r="B7" s="10" t="n">
        <v>46035</v>
      </c>
      <c r="C7" s="11" t="s">
        <v>76</v>
      </c>
      <c r="D7" s="11" t="s">
        <v>90</v>
      </c>
      <c r="E7" s="11" t="s">
        <v>91</v>
      </c>
      <c r="F7" s="11" t="s">
        <v>92</v>
      </c>
      <c r="G7" s="11" t="s">
        <v>93</v>
      </c>
      <c r="H7" s="12" t="n">
        <v>3</v>
      </c>
      <c r="I7" s="12" t="n">
        <v>5</v>
      </c>
      <c r="J7" s="13" t="n">
        <f aca="false">IF(OR(H7="",I7=""),"",H7*I7)</f>
        <v>15</v>
      </c>
      <c r="K7" s="14" t="str">
        <f aca="false">IF(J7="","",IF(J7&gt;=Scoring!$B$24,"Critical",IF(J7&gt;=Scoring!$B$23,"High",IF(J7&gt;=Scoring!$B$22,"Medium","Low"))))</f>
        <v>Critical</v>
      </c>
      <c r="L7" s="11" t="s">
        <v>94</v>
      </c>
      <c r="M7" s="11" t="s">
        <v>95</v>
      </c>
      <c r="N7" s="9" t="s">
        <v>83</v>
      </c>
      <c r="O7" s="12" t="n">
        <v>3</v>
      </c>
      <c r="P7" s="12" t="n">
        <v>4</v>
      </c>
      <c r="Q7" s="13" t="n">
        <f aca="false">IF(OR(O7="",P7=""),"",O7*P7)</f>
        <v>12</v>
      </c>
      <c r="R7" s="14" t="str">
        <f aca="false">IF(Q7="","",IF(Q7&gt;=Scoring!$B$24,"Critical",IF(Q7&gt;=Scoring!$B$23,"High",IF(Q7&gt;=Scoring!$B$22,"Medium","Low"))))</f>
        <v>High</v>
      </c>
      <c r="S7" s="14" t="str">
        <f aca="false">IF(Q7="","",IF(Q7&lt;=Scoring!$B$27,"Yes","No"))</f>
        <v>No</v>
      </c>
      <c r="T7" s="9" t="s">
        <v>96</v>
      </c>
      <c r="U7" s="11" t="s">
        <v>97</v>
      </c>
      <c r="V7" s="11" t="s">
        <v>98</v>
      </c>
      <c r="W7" s="10" t="n">
        <v>46568</v>
      </c>
      <c r="X7" s="9" t="s">
        <v>99</v>
      </c>
      <c r="Y7" s="11" t="s">
        <v>100</v>
      </c>
      <c r="Z7" s="10" t="n">
        <v>46289</v>
      </c>
      <c r="AA7" s="15" t="n">
        <f aca="false">IF(OR(Z7="",R7=""),"",Z7+INDEX(Scoring!$E$21:$E$24,MATCH(R7,Scoring!$A$21:$A$24,0)))</f>
        <v>46379</v>
      </c>
      <c r="AB7" s="16" t="n">
        <f aca="false">IF(Q7="","",Q7+(1000-ROW())/100000)</f>
        <v>12.00993</v>
      </c>
    </row>
    <row r="8" customFormat="false" ht="99.75" hidden="false" customHeight="true" outlineLevel="0" collapsed="false">
      <c r="A8" s="9" t="s">
        <v>101</v>
      </c>
      <c r="B8" s="10" t="n">
        <v>46055</v>
      </c>
      <c r="C8" s="11" t="s">
        <v>102</v>
      </c>
      <c r="D8" s="11" t="s">
        <v>103</v>
      </c>
      <c r="E8" s="11" t="s">
        <v>104</v>
      </c>
      <c r="F8" s="11" t="s">
        <v>105</v>
      </c>
      <c r="G8" s="11" t="s">
        <v>106</v>
      </c>
      <c r="H8" s="12" t="n">
        <v>4</v>
      </c>
      <c r="I8" s="12" t="n">
        <v>4</v>
      </c>
      <c r="J8" s="13" t="n">
        <f aca="false">IF(OR(H8="",I8=""),"",H8*I8)</f>
        <v>16</v>
      </c>
      <c r="K8" s="14" t="str">
        <f aca="false">IF(J8="","",IF(J8&gt;=Scoring!$B$24,"Critical",IF(J8&gt;=Scoring!$B$23,"High",IF(J8&gt;=Scoring!$B$22,"Medium","Low"))))</f>
        <v>Critical</v>
      </c>
      <c r="L8" s="11" t="s">
        <v>107</v>
      </c>
      <c r="M8" s="11" t="s">
        <v>108</v>
      </c>
      <c r="N8" s="9" t="s">
        <v>83</v>
      </c>
      <c r="O8" s="12" t="n">
        <v>3</v>
      </c>
      <c r="P8" s="12" t="n">
        <v>3</v>
      </c>
      <c r="Q8" s="13" t="n">
        <f aca="false">IF(OR(O8="",P8=""),"",O8*P8)</f>
        <v>9</v>
      </c>
      <c r="R8" s="14" t="str">
        <f aca="false">IF(Q8="","",IF(Q8&gt;=Scoring!$B$24,"Critical",IF(Q8&gt;=Scoring!$B$23,"High",IF(Q8&gt;=Scoring!$B$22,"Medium","Low"))))</f>
        <v>Medium</v>
      </c>
      <c r="S8" s="14" t="str">
        <f aca="false">IF(Q8="","",IF(Q8&lt;=Scoring!$B$27,"Yes","No"))</f>
        <v>Yes</v>
      </c>
      <c r="T8" s="9" t="s">
        <v>84</v>
      </c>
      <c r="U8" s="11" t="s">
        <v>109</v>
      </c>
      <c r="V8" s="11" t="s">
        <v>110</v>
      </c>
      <c r="W8" s="10" t="n">
        <v>46446</v>
      </c>
      <c r="X8" s="9" t="s">
        <v>87</v>
      </c>
      <c r="Y8" s="11" t="s">
        <v>111</v>
      </c>
      <c r="Z8" s="10" t="n">
        <v>46303</v>
      </c>
      <c r="AA8" s="15" t="n">
        <f aca="false">IF(OR(Z8="",R8=""),"",Z8+INDEX(Scoring!$E$21:$E$24,MATCH(R8,Scoring!$A$21:$A$24,0)))</f>
        <v>46483</v>
      </c>
      <c r="AB8" s="16" t="n">
        <f aca="false">IF(Q8="","",Q8+(1000-ROW())/100000)</f>
        <v>9.00992</v>
      </c>
    </row>
    <row r="9" customFormat="false" ht="99.75" hidden="false" customHeight="true" outlineLevel="0" collapsed="false">
      <c r="A9" s="9" t="s">
        <v>112</v>
      </c>
      <c r="B9" s="10" t="n">
        <v>46055</v>
      </c>
      <c r="C9" s="11" t="s">
        <v>102</v>
      </c>
      <c r="D9" s="11" t="s">
        <v>113</v>
      </c>
      <c r="E9" s="11" t="s">
        <v>114</v>
      </c>
      <c r="F9" s="11" t="s">
        <v>115</v>
      </c>
      <c r="G9" s="11" t="s">
        <v>80</v>
      </c>
      <c r="H9" s="12" t="n">
        <v>3</v>
      </c>
      <c r="I9" s="12" t="n">
        <v>5</v>
      </c>
      <c r="J9" s="13" t="n">
        <f aca="false">IF(OR(H9="",I9=""),"",H9*I9)</f>
        <v>15</v>
      </c>
      <c r="K9" s="14" t="str">
        <f aca="false">IF(J9="","",IF(J9&gt;=Scoring!$B$24,"Critical",IF(J9&gt;=Scoring!$B$23,"High",IF(J9&gt;=Scoring!$B$22,"Medium","Low"))))</f>
        <v>Critical</v>
      </c>
      <c r="L9" s="11" t="s">
        <v>116</v>
      </c>
      <c r="M9" s="11" t="s">
        <v>108</v>
      </c>
      <c r="N9" s="9" t="s">
        <v>117</v>
      </c>
      <c r="O9" s="12" t="n">
        <v>3</v>
      </c>
      <c r="P9" s="12" t="n">
        <v>4</v>
      </c>
      <c r="Q9" s="13" t="n">
        <f aca="false">IF(OR(O9="",P9=""),"",O9*P9)</f>
        <v>12</v>
      </c>
      <c r="R9" s="14" t="str">
        <f aca="false">IF(Q9="","",IF(Q9&gt;=Scoring!$B$24,"Critical",IF(Q9&gt;=Scoring!$B$23,"High",IF(Q9&gt;=Scoring!$B$22,"Medium","Low"))))</f>
        <v>High</v>
      </c>
      <c r="S9" s="14" t="str">
        <f aca="false">IF(Q9="","",IF(Q9&lt;=Scoring!$B$27,"Yes","No"))</f>
        <v>No</v>
      </c>
      <c r="T9" s="9" t="s">
        <v>84</v>
      </c>
      <c r="U9" s="11" t="s">
        <v>118</v>
      </c>
      <c r="V9" s="11" t="s">
        <v>119</v>
      </c>
      <c r="W9" s="10" t="n">
        <v>46295</v>
      </c>
      <c r="X9" s="9" t="s">
        <v>87</v>
      </c>
      <c r="Y9" s="11" t="s">
        <v>120</v>
      </c>
      <c r="Z9" s="10" t="n">
        <v>46293</v>
      </c>
      <c r="AA9" s="15" t="n">
        <f aca="false">IF(OR(Z9="",R9=""),"",Z9+INDEX(Scoring!$E$21:$E$24,MATCH(R9,Scoring!$A$21:$A$24,0)))</f>
        <v>46383</v>
      </c>
      <c r="AB9" s="16" t="n">
        <f aca="false">IF(Q9="","",Q9+(1000-ROW())/100000)</f>
        <v>12.00991</v>
      </c>
    </row>
    <row r="10" customFormat="false" ht="99.75" hidden="false" customHeight="true" outlineLevel="0" collapsed="false">
      <c r="A10" s="9" t="s">
        <v>121</v>
      </c>
      <c r="B10" s="10" t="n">
        <v>46069</v>
      </c>
      <c r="C10" s="11" t="s">
        <v>102</v>
      </c>
      <c r="D10" s="11" t="s">
        <v>122</v>
      </c>
      <c r="E10" s="11" t="s">
        <v>123</v>
      </c>
      <c r="F10" s="11" t="s">
        <v>124</v>
      </c>
      <c r="G10" s="11" t="s">
        <v>125</v>
      </c>
      <c r="H10" s="12" t="n">
        <v>4</v>
      </c>
      <c r="I10" s="12" t="n">
        <v>3</v>
      </c>
      <c r="J10" s="13" t="n">
        <f aca="false">IF(OR(H10="",I10=""),"",H10*I10)</f>
        <v>12</v>
      </c>
      <c r="K10" s="14" t="str">
        <f aca="false">IF(J10="","",IF(J10&gt;=Scoring!$B$24,"Critical",IF(J10&gt;=Scoring!$B$23,"High",IF(J10&gt;=Scoring!$B$22,"Medium","Low"))))</f>
        <v>High</v>
      </c>
      <c r="L10" s="11" t="s">
        <v>126</v>
      </c>
      <c r="M10" s="11" t="s">
        <v>127</v>
      </c>
      <c r="N10" s="9" t="s">
        <v>83</v>
      </c>
      <c r="O10" s="12" t="n">
        <v>3</v>
      </c>
      <c r="P10" s="12" t="n">
        <v>3</v>
      </c>
      <c r="Q10" s="13" t="n">
        <f aca="false">IF(OR(O10="",P10=""),"",O10*P10)</f>
        <v>9</v>
      </c>
      <c r="R10" s="14" t="str">
        <f aca="false">IF(Q10="","",IF(Q10&gt;=Scoring!$B$24,"Critical",IF(Q10&gt;=Scoring!$B$23,"High",IF(Q10&gt;=Scoring!$B$22,"Medium","Low"))))</f>
        <v>Medium</v>
      </c>
      <c r="S10" s="14" t="str">
        <f aca="false">IF(Q10="","",IF(Q10&lt;=Scoring!$B$27,"Yes","No"))</f>
        <v>Yes</v>
      </c>
      <c r="T10" s="9" t="s">
        <v>84</v>
      </c>
      <c r="U10" s="11" t="s">
        <v>128</v>
      </c>
      <c r="V10" s="11" t="s">
        <v>129</v>
      </c>
      <c r="W10" s="10" t="n">
        <v>46418</v>
      </c>
      <c r="X10" s="9" t="s">
        <v>99</v>
      </c>
      <c r="Y10" s="11" t="s">
        <v>130</v>
      </c>
      <c r="Z10" s="10" t="n">
        <v>46283</v>
      </c>
      <c r="AA10" s="15" t="n">
        <f aca="false">IF(OR(Z10="",R10=""),"",Z10+INDEX(Scoring!$E$21:$E$24,MATCH(R10,Scoring!$A$21:$A$24,0)))</f>
        <v>46463</v>
      </c>
      <c r="AB10" s="16" t="n">
        <f aca="false">IF(Q10="","",Q10+(1000-ROW())/100000)</f>
        <v>9.0099</v>
      </c>
    </row>
    <row r="11" customFormat="false" ht="99.75" hidden="false" customHeight="true" outlineLevel="0" collapsed="false">
      <c r="A11" s="9" t="s">
        <v>131</v>
      </c>
      <c r="B11" s="10" t="n">
        <v>46083</v>
      </c>
      <c r="C11" s="11" t="s">
        <v>132</v>
      </c>
      <c r="D11" s="11" t="s">
        <v>133</v>
      </c>
      <c r="E11" s="11" t="s">
        <v>134</v>
      </c>
      <c r="F11" s="11" t="s">
        <v>135</v>
      </c>
      <c r="G11" s="11" t="s">
        <v>136</v>
      </c>
      <c r="H11" s="12" t="n">
        <v>3</v>
      </c>
      <c r="I11" s="12" t="n">
        <v>4</v>
      </c>
      <c r="J11" s="13" t="n">
        <f aca="false">IF(OR(H11="",I11=""),"",H11*I11)</f>
        <v>12</v>
      </c>
      <c r="K11" s="14" t="str">
        <f aca="false">IF(J11="","",IF(J11&gt;=Scoring!$B$24,"Critical",IF(J11&gt;=Scoring!$B$23,"High",IF(J11&gt;=Scoring!$B$22,"Medium","Low"))))</f>
        <v>High</v>
      </c>
      <c r="L11" s="11" t="s">
        <v>137</v>
      </c>
      <c r="M11" s="11" t="s">
        <v>138</v>
      </c>
      <c r="N11" s="9" t="s">
        <v>83</v>
      </c>
      <c r="O11" s="12" t="n">
        <v>2</v>
      </c>
      <c r="P11" s="12" t="n">
        <v>4</v>
      </c>
      <c r="Q11" s="13" t="n">
        <f aca="false">IF(OR(O11="",P11=""),"",O11*P11)</f>
        <v>8</v>
      </c>
      <c r="R11" s="14" t="str">
        <f aca="false">IF(Q11="","",IF(Q11&gt;=Scoring!$B$24,"Critical",IF(Q11&gt;=Scoring!$B$23,"High",IF(Q11&gt;=Scoring!$B$22,"Medium","Low"))))</f>
        <v>Medium</v>
      </c>
      <c r="S11" s="14" t="str">
        <f aca="false">IF(Q11="","",IF(Q11&lt;=Scoring!$B$27,"Yes","No"))</f>
        <v>Yes</v>
      </c>
      <c r="T11" s="9" t="s">
        <v>84</v>
      </c>
      <c r="U11" s="11" t="s">
        <v>139</v>
      </c>
      <c r="V11" s="11" t="s">
        <v>140</v>
      </c>
      <c r="W11" s="10" t="n">
        <v>46507</v>
      </c>
      <c r="X11" s="9" t="s">
        <v>87</v>
      </c>
      <c r="Y11" s="11" t="s">
        <v>141</v>
      </c>
      <c r="Z11" s="10" t="n">
        <v>46286</v>
      </c>
      <c r="AA11" s="15" t="n">
        <f aca="false">IF(OR(Z11="",R11=""),"",Z11+INDEX(Scoring!$E$21:$E$24,MATCH(R11,Scoring!$A$21:$A$24,0)))</f>
        <v>46466</v>
      </c>
      <c r="AB11" s="16" t="n">
        <f aca="false">IF(Q11="","",Q11+(1000-ROW())/100000)</f>
        <v>8.00989</v>
      </c>
    </row>
    <row r="12" customFormat="false" ht="99.75" hidden="false" customHeight="true" outlineLevel="0" collapsed="false">
      <c r="A12" s="9" t="s">
        <v>142</v>
      </c>
      <c r="B12" s="10" t="n">
        <v>46097</v>
      </c>
      <c r="C12" s="11" t="s">
        <v>132</v>
      </c>
      <c r="D12" s="11" t="s">
        <v>143</v>
      </c>
      <c r="E12" s="11" t="s">
        <v>144</v>
      </c>
      <c r="F12" s="11" t="s">
        <v>145</v>
      </c>
      <c r="G12" s="11" t="s">
        <v>146</v>
      </c>
      <c r="H12" s="12" t="n">
        <v>4</v>
      </c>
      <c r="I12" s="12" t="n">
        <v>3</v>
      </c>
      <c r="J12" s="13" t="n">
        <f aca="false">IF(OR(H12="",I12=""),"",H12*I12)</f>
        <v>12</v>
      </c>
      <c r="K12" s="14" t="str">
        <f aca="false">IF(J12="","",IF(J12&gt;=Scoring!$B$24,"Critical",IF(J12&gt;=Scoring!$B$23,"High",IF(J12&gt;=Scoring!$B$22,"Medium","Low"))))</f>
        <v>High</v>
      </c>
      <c r="L12" s="11" t="s">
        <v>147</v>
      </c>
      <c r="M12" s="11" t="s">
        <v>148</v>
      </c>
      <c r="N12" s="9" t="s">
        <v>83</v>
      </c>
      <c r="O12" s="12" t="n">
        <v>3</v>
      </c>
      <c r="P12" s="12" t="n">
        <v>3</v>
      </c>
      <c r="Q12" s="13" t="n">
        <f aca="false">IF(OR(O12="",P12=""),"",O12*P12)</f>
        <v>9</v>
      </c>
      <c r="R12" s="14" t="str">
        <f aca="false">IF(Q12="","",IF(Q12&gt;=Scoring!$B$24,"Critical",IF(Q12&gt;=Scoring!$B$23,"High",IF(Q12&gt;=Scoring!$B$22,"Medium","Low"))))</f>
        <v>Medium</v>
      </c>
      <c r="S12" s="14" t="str">
        <f aca="false">IF(Q12="","",IF(Q12&lt;=Scoring!$B$27,"Yes","No"))</f>
        <v>Yes</v>
      </c>
      <c r="T12" s="9" t="s">
        <v>84</v>
      </c>
      <c r="U12" s="11" t="s">
        <v>149</v>
      </c>
      <c r="V12" s="11" t="s">
        <v>140</v>
      </c>
      <c r="W12" s="10" t="n">
        <v>46507</v>
      </c>
      <c r="X12" s="9" t="s">
        <v>87</v>
      </c>
      <c r="Y12" s="11" t="s">
        <v>150</v>
      </c>
      <c r="Z12" s="10" t="n">
        <v>46296</v>
      </c>
      <c r="AA12" s="15" t="n">
        <f aca="false">IF(OR(Z12="",R12=""),"",Z12+INDEX(Scoring!$E$21:$E$24,MATCH(R12,Scoring!$A$21:$A$24,0)))</f>
        <v>46476</v>
      </c>
      <c r="AB12" s="16" t="n">
        <f aca="false">IF(Q12="","",Q12+(1000-ROW())/100000)</f>
        <v>9.00988</v>
      </c>
    </row>
    <row r="13" customFormat="false" ht="99.75" hidden="false" customHeight="true" outlineLevel="0" collapsed="false">
      <c r="A13" s="9" t="s">
        <v>151</v>
      </c>
      <c r="B13" s="10" t="n">
        <v>46118</v>
      </c>
      <c r="C13" s="11" t="s">
        <v>152</v>
      </c>
      <c r="D13" s="11" t="s">
        <v>153</v>
      </c>
      <c r="E13" s="11" t="s">
        <v>154</v>
      </c>
      <c r="F13" s="11" t="s">
        <v>155</v>
      </c>
      <c r="G13" s="11" t="s">
        <v>156</v>
      </c>
      <c r="H13" s="12" t="n">
        <v>4</v>
      </c>
      <c r="I13" s="12" t="n">
        <v>4</v>
      </c>
      <c r="J13" s="13" t="n">
        <f aca="false">IF(OR(H13="",I13=""),"",H13*I13)</f>
        <v>16</v>
      </c>
      <c r="K13" s="14" t="str">
        <f aca="false">IF(J13="","",IF(J13&gt;=Scoring!$B$24,"Critical",IF(J13&gt;=Scoring!$B$23,"High",IF(J13&gt;=Scoring!$B$22,"Medium","Low"))))</f>
        <v>Critical</v>
      </c>
      <c r="L13" s="11" t="s">
        <v>157</v>
      </c>
      <c r="M13" s="11" t="s">
        <v>158</v>
      </c>
      <c r="N13" s="9" t="s">
        <v>83</v>
      </c>
      <c r="O13" s="12" t="n">
        <v>3</v>
      </c>
      <c r="P13" s="12" t="n">
        <v>3</v>
      </c>
      <c r="Q13" s="13" t="n">
        <f aca="false">IF(OR(O13="",P13=""),"",O13*P13)</f>
        <v>9</v>
      </c>
      <c r="R13" s="14" t="str">
        <f aca="false">IF(Q13="","",IF(Q13&gt;=Scoring!$B$24,"Critical",IF(Q13&gt;=Scoring!$B$23,"High",IF(Q13&gt;=Scoring!$B$22,"Medium","Low"))))</f>
        <v>Medium</v>
      </c>
      <c r="S13" s="14" t="str">
        <f aca="false">IF(Q13="","",IF(Q13&lt;=Scoring!$B$27,"Yes","No"))</f>
        <v>Yes</v>
      </c>
      <c r="T13" s="9" t="s">
        <v>84</v>
      </c>
      <c r="U13" s="11" t="s">
        <v>159</v>
      </c>
      <c r="V13" s="11" t="s">
        <v>160</v>
      </c>
      <c r="W13" s="10" t="n">
        <v>46402</v>
      </c>
      <c r="X13" s="9" t="s">
        <v>87</v>
      </c>
      <c r="Y13" s="11" t="s">
        <v>161</v>
      </c>
      <c r="Z13" s="10" t="n">
        <v>46304</v>
      </c>
      <c r="AA13" s="15" t="n">
        <f aca="false">IF(OR(Z13="",R13=""),"",Z13+INDEX(Scoring!$E$21:$E$24,MATCH(R13,Scoring!$A$21:$A$24,0)))</f>
        <v>46484</v>
      </c>
      <c r="AB13" s="16" t="n">
        <f aca="false">IF(Q13="","",Q13+(1000-ROW())/100000)</f>
        <v>9.00987</v>
      </c>
    </row>
    <row r="14" customFormat="false" ht="99.75" hidden="false" customHeight="true" outlineLevel="0" collapsed="false">
      <c r="A14" s="9" t="s">
        <v>162</v>
      </c>
      <c r="B14" s="10" t="n">
        <v>46118</v>
      </c>
      <c r="C14" s="11" t="s">
        <v>152</v>
      </c>
      <c r="D14" s="11" t="s">
        <v>163</v>
      </c>
      <c r="E14" s="11" t="s">
        <v>164</v>
      </c>
      <c r="F14" s="11" t="s">
        <v>165</v>
      </c>
      <c r="G14" s="11" t="s">
        <v>166</v>
      </c>
      <c r="H14" s="12" t="n">
        <v>4</v>
      </c>
      <c r="I14" s="12" t="n">
        <v>3</v>
      </c>
      <c r="J14" s="13" t="n">
        <f aca="false">IF(OR(H14="",I14=""),"",H14*I14)</f>
        <v>12</v>
      </c>
      <c r="K14" s="14" t="str">
        <f aca="false">IF(J14="","",IF(J14&gt;=Scoring!$B$24,"Critical",IF(J14&gt;=Scoring!$B$23,"High",IF(J14&gt;=Scoring!$B$22,"Medium","Low"))))</f>
        <v>High</v>
      </c>
      <c r="L14" s="11" t="s">
        <v>167</v>
      </c>
      <c r="M14" s="11" t="s">
        <v>168</v>
      </c>
      <c r="N14" s="9" t="s">
        <v>83</v>
      </c>
      <c r="O14" s="12" t="n">
        <v>3</v>
      </c>
      <c r="P14" s="12" t="n">
        <v>2</v>
      </c>
      <c r="Q14" s="13" t="n">
        <f aca="false">IF(OR(O14="",P14=""),"",O14*P14)</f>
        <v>6</v>
      </c>
      <c r="R14" s="14" t="str">
        <f aca="false">IF(Q14="","",IF(Q14&gt;=Scoring!$B$24,"Critical",IF(Q14&gt;=Scoring!$B$23,"High",IF(Q14&gt;=Scoring!$B$22,"Medium","Low"))))</f>
        <v>Medium</v>
      </c>
      <c r="S14" s="14" t="str">
        <f aca="false">IF(Q14="","",IF(Q14&lt;=Scoring!$B$27,"Yes","No"))</f>
        <v>Yes</v>
      </c>
      <c r="T14" s="9" t="s">
        <v>84</v>
      </c>
      <c r="U14" s="11" t="s">
        <v>169</v>
      </c>
      <c r="V14" s="11" t="s">
        <v>170</v>
      </c>
      <c r="W14" s="10" t="n">
        <v>46305</v>
      </c>
      <c r="X14" s="9" t="s">
        <v>87</v>
      </c>
      <c r="Y14" s="11" t="s">
        <v>171</v>
      </c>
      <c r="Z14" s="10" t="n">
        <v>46298</v>
      </c>
      <c r="AA14" s="15" t="n">
        <f aca="false">IF(OR(Z14="",R14=""),"",Z14+INDEX(Scoring!$E$21:$E$24,MATCH(R14,Scoring!$A$21:$A$24,0)))</f>
        <v>46478</v>
      </c>
      <c r="AB14" s="16" t="n">
        <f aca="false">IF(Q14="","",Q14+(1000-ROW())/100000)</f>
        <v>6.00986</v>
      </c>
    </row>
    <row r="15" customFormat="false" ht="99.75" hidden="false" customHeight="true" outlineLevel="0" collapsed="false">
      <c r="A15" s="9" t="s">
        <v>172</v>
      </c>
      <c r="B15" s="10" t="n">
        <v>46132</v>
      </c>
      <c r="C15" s="11" t="s">
        <v>152</v>
      </c>
      <c r="D15" s="11" t="s">
        <v>173</v>
      </c>
      <c r="E15" s="11" t="s">
        <v>174</v>
      </c>
      <c r="F15" s="11" t="s">
        <v>175</v>
      </c>
      <c r="G15" s="11" t="s">
        <v>176</v>
      </c>
      <c r="H15" s="12" t="n">
        <v>3</v>
      </c>
      <c r="I15" s="12" t="n">
        <v>4</v>
      </c>
      <c r="J15" s="13" t="n">
        <f aca="false">IF(OR(H15="",I15=""),"",H15*I15)</f>
        <v>12</v>
      </c>
      <c r="K15" s="14" t="str">
        <f aca="false">IF(J15="","",IF(J15&gt;=Scoring!$B$24,"Critical",IF(J15&gt;=Scoring!$B$23,"High",IF(J15&gt;=Scoring!$B$22,"Medium","Low"))))</f>
        <v>High</v>
      </c>
      <c r="L15" s="11" t="s">
        <v>177</v>
      </c>
      <c r="M15" s="11" t="s">
        <v>178</v>
      </c>
      <c r="N15" s="9" t="s">
        <v>117</v>
      </c>
      <c r="O15" s="12" t="n">
        <v>3</v>
      </c>
      <c r="P15" s="12" t="n">
        <v>3</v>
      </c>
      <c r="Q15" s="13" t="n">
        <f aca="false">IF(OR(O15="",P15=""),"",O15*P15)</f>
        <v>9</v>
      </c>
      <c r="R15" s="14" t="str">
        <f aca="false">IF(Q15="","",IF(Q15&gt;=Scoring!$B$24,"Critical",IF(Q15&gt;=Scoring!$B$23,"High",IF(Q15&gt;=Scoring!$B$22,"Medium","Low"))))</f>
        <v>Medium</v>
      </c>
      <c r="S15" s="14" t="str">
        <f aca="false">IF(Q15="","",IF(Q15&lt;=Scoring!$B$27,"Yes","No"))</f>
        <v>Yes</v>
      </c>
      <c r="T15" s="9" t="s">
        <v>179</v>
      </c>
      <c r="U15" s="11" t="s">
        <v>180</v>
      </c>
      <c r="V15" s="11" t="s">
        <v>181</v>
      </c>
      <c r="W15" s="10" t="n">
        <v>46446</v>
      </c>
      <c r="X15" s="9" t="s">
        <v>99</v>
      </c>
      <c r="Y15" s="11" t="s">
        <v>182</v>
      </c>
      <c r="Z15" s="10" t="n">
        <v>46295</v>
      </c>
      <c r="AA15" s="15" t="n">
        <f aca="false">IF(OR(Z15="",R15=""),"",Z15+INDEX(Scoring!$E$21:$E$24,MATCH(R15,Scoring!$A$21:$A$24,0)))</f>
        <v>46475</v>
      </c>
      <c r="AB15" s="16" t="n">
        <f aca="false">IF(Q15="","",Q15+(1000-ROW())/100000)</f>
        <v>9.00985</v>
      </c>
    </row>
    <row r="16" customFormat="false" ht="99.75" hidden="false" customHeight="true" outlineLevel="0" collapsed="false">
      <c r="A16" s="9" t="s">
        <v>183</v>
      </c>
      <c r="B16" s="10" t="n">
        <v>46146</v>
      </c>
      <c r="C16" s="11" t="s">
        <v>184</v>
      </c>
      <c r="D16" s="11" t="s">
        <v>185</v>
      </c>
      <c r="E16" s="11" t="s">
        <v>186</v>
      </c>
      <c r="F16" s="11" t="s">
        <v>187</v>
      </c>
      <c r="G16" s="11" t="s">
        <v>146</v>
      </c>
      <c r="H16" s="12" t="n">
        <v>3</v>
      </c>
      <c r="I16" s="12" t="n">
        <v>4</v>
      </c>
      <c r="J16" s="13" t="n">
        <f aca="false">IF(OR(H16="",I16=""),"",H16*I16)</f>
        <v>12</v>
      </c>
      <c r="K16" s="14" t="str">
        <f aca="false">IF(J16="","",IF(J16&gt;=Scoring!$B$24,"Critical",IF(J16&gt;=Scoring!$B$23,"High",IF(J16&gt;=Scoring!$B$22,"Medium","Low"))))</f>
        <v>High</v>
      </c>
      <c r="L16" s="11" t="s">
        <v>188</v>
      </c>
      <c r="M16" s="11" t="s">
        <v>189</v>
      </c>
      <c r="N16" s="9" t="s">
        <v>83</v>
      </c>
      <c r="O16" s="12" t="n">
        <v>2</v>
      </c>
      <c r="P16" s="12" t="n">
        <v>3</v>
      </c>
      <c r="Q16" s="13" t="n">
        <f aca="false">IF(OR(O16="",P16=""),"",O16*P16)</f>
        <v>6</v>
      </c>
      <c r="R16" s="14" t="str">
        <f aca="false">IF(Q16="","",IF(Q16&gt;=Scoring!$B$24,"Critical",IF(Q16&gt;=Scoring!$B$23,"High",IF(Q16&gt;=Scoring!$B$22,"Medium","Low"))))</f>
        <v>Medium</v>
      </c>
      <c r="S16" s="14" t="str">
        <f aca="false">IF(Q16="","",IF(Q16&lt;=Scoring!$B$27,"Yes","No"))</f>
        <v>Yes</v>
      </c>
      <c r="T16" s="9" t="s">
        <v>84</v>
      </c>
      <c r="U16" s="11" t="s">
        <v>190</v>
      </c>
      <c r="V16" s="11" t="s">
        <v>191</v>
      </c>
      <c r="W16" s="10" t="n">
        <v>46387</v>
      </c>
      <c r="X16" s="9" t="s">
        <v>99</v>
      </c>
      <c r="Y16" s="11" t="s">
        <v>192</v>
      </c>
      <c r="Z16" s="10" t="n">
        <v>46281</v>
      </c>
      <c r="AA16" s="15" t="n">
        <f aca="false">IF(OR(Z16="",R16=""),"",Z16+INDEX(Scoring!$E$21:$E$24,MATCH(R16,Scoring!$A$21:$A$24,0)))</f>
        <v>46461</v>
      </c>
      <c r="AB16" s="16" t="n">
        <f aca="false">IF(Q16="","",Q16+(1000-ROW())/100000)</f>
        <v>6.00984</v>
      </c>
    </row>
    <row r="17" customFormat="false" ht="99.75" hidden="false" customHeight="true" outlineLevel="0" collapsed="false">
      <c r="A17" s="9" t="s">
        <v>193</v>
      </c>
      <c r="B17" s="10" t="n">
        <v>46160</v>
      </c>
      <c r="C17" s="11" t="s">
        <v>194</v>
      </c>
      <c r="D17" s="11" t="s">
        <v>195</v>
      </c>
      <c r="E17" s="11" t="s">
        <v>196</v>
      </c>
      <c r="F17" s="11" t="s">
        <v>197</v>
      </c>
      <c r="G17" s="11" t="s">
        <v>156</v>
      </c>
      <c r="H17" s="12" t="n">
        <v>4</v>
      </c>
      <c r="I17" s="12" t="n">
        <v>5</v>
      </c>
      <c r="J17" s="13" t="n">
        <f aca="false">IF(OR(H17="",I17=""),"",H17*I17)</f>
        <v>20</v>
      </c>
      <c r="K17" s="14" t="str">
        <f aca="false">IF(J17="","",IF(J17&gt;=Scoring!$B$24,"Critical",IF(J17&gt;=Scoring!$B$23,"High",IF(J17&gt;=Scoring!$B$22,"Medium","Low"))))</f>
        <v>Critical</v>
      </c>
      <c r="L17" s="11" t="s">
        <v>198</v>
      </c>
      <c r="M17" s="11" t="s">
        <v>199</v>
      </c>
      <c r="N17" s="9" t="s">
        <v>117</v>
      </c>
      <c r="O17" s="12" t="n">
        <v>3</v>
      </c>
      <c r="P17" s="12" t="n">
        <v>4</v>
      </c>
      <c r="Q17" s="13" t="n">
        <f aca="false">IF(OR(O17="",P17=""),"",O17*P17)</f>
        <v>12</v>
      </c>
      <c r="R17" s="14" t="str">
        <f aca="false">IF(Q17="","",IF(Q17&gt;=Scoring!$B$24,"Critical",IF(Q17&gt;=Scoring!$B$23,"High",IF(Q17&gt;=Scoring!$B$22,"Medium","Low"))))</f>
        <v>High</v>
      </c>
      <c r="S17" s="14" t="str">
        <f aca="false">IF(Q17="","",IF(Q17&lt;=Scoring!$B$27,"Yes","No"))</f>
        <v>No</v>
      </c>
      <c r="T17" s="9" t="s">
        <v>84</v>
      </c>
      <c r="U17" s="11" t="s">
        <v>200</v>
      </c>
      <c r="V17" s="11" t="s">
        <v>201</v>
      </c>
      <c r="W17" s="10" t="n">
        <v>46568</v>
      </c>
      <c r="X17" s="9" t="s">
        <v>87</v>
      </c>
      <c r="Y17" s="11" t="s">
        <v>202</v>
      </c>
      <c r="Z17" s="10" t="n">
        <v>46300</v>
      </c>
      <c r="AA17" s="15" t="n">
        <f aca="false">IF(OR(Z17="",R17=""),"",Z17+INDEX(Scoring!$E$21:$E$24,MATCH(R17,Scoring!$A$21:$A$24,0)))</f>
        <v>46390</v>
      </c>
      <c r="AB17" s="16" t="n">
        <f aca="false">IF(Q17="","",Q17+(1000-ROW())/100000)</f>
        <v>12.00983</v>
      </c>
    </row>
    <row r="18" customFormat="false" ht="99.75" hidden="false" customHeight="true" outlineLevel="0" collapsed="false">
      <c r="A18" s="9" t="s">
        <v>203</v>
      </c>
      <c r="B18" s="10" t="n">
        <v>46174</v>
      </c>
      <c r="C18" s="11" t="s">
        <v>184</v>
      </c>
      <c r="D18" s="11" t="s">
        <v>204</v>
      </c>
      <c r="E18" s="11" t="s">
        <v>205</v>
      </c>
      <c r="F18" s="11" t="s">
        <v>206</v>
      </c>
      <c r="G18" s="11" t="s">
        <v>156</v>
      </c>
      <c r="H18" s="12" t="n">
        <v>5</v>
      </c>
      <c r="I18" s="12" t="n">
        <v>3</v>
      </c>
      <c r="J18" s="13" t="n">
        <f aca="false">IF(OR(H18="",I18=""),"",H18*I18)</f>
        <v>15</v>
      </c>
      <c r="K18" s="14" t="str">
        <f aca="false">IF(J18="","",IF(J18&gt;=Scoring!$B$24,"Critical",IF(J18&gt;=Scoring!$B$23,"High",IF(J18&gt;=Scoring!$B$22,"Medium","Low"))))</f>
        <v>Critical</v>
      </c>
      <c r="L18" s="11" t="s">
        <v>207</v>
      </c>
      <c r="M18" s="11" t="s">
        <v>208</v>
      </c>
      <c r="N18" s="9" t="s">
        <v>83</v>
      </c>
      <c r="O18" s="12" t="n">
        <v>3</v>
      </c>
      <c r="P18" s="12" t="n">
        <v>3</v>
      </c>
      <c r="Q18" s="13" t="n">
        <f aca="false">IF(OR(O18="",P18=""),"",O18*P18)</f>
        <v>9</v>
      </c>
      <c r="R18" s="14" t="str">
        <f aca="false">IF(Q18="","",IF(Q18&gt;=Scoring!$B$24,"Critical",IF(Q18&gt;=Scoring!$B$23,"High",IF(Q18&gt;=Scoring!$B$22,"Medium","Low"))))</f>
        <v>Medium</v>
      </c>
      <c r="S18" s="14" t="str">
        <f aca="false">IF(Q18="","",IF(Q18&lt;=Scoring!$B$27,"Yes","No"))</f>
        <v>Yes</v>
      </c>
      <c r="T18" s="9" t="s">
        <v>84</v>
      </c>
      <c r="U18" s="11" t="s">
        <v>209</v>
      </c>
      <c r="V18" s="11" t="s">
        <v>210</v>
      </c>
      <c r="W18" s="10" t="n">
        <v>46418</v>
      </c>
      <c r="X18" s="9" t="s">
        <v>87</v>
      </c>
      <c r="Y18" s="11" t="s">
        <v>211</v>
      </c>
      <c r="Z18" s="10" t="n">
        <v>46302</v>
      </c>
      <c r="AA18" s="15" t="n">
        <f aca="false">IF(OR(Z18="",R18=""),"",Z18+INDEX(Scoring!$E$21:$E$24,MATCH(R18,Scoring!$A$21:$A$24,0)))</f>
        <v>46482</v>
      </c>
      <c r="AB18" s="16" t="n">
        <f aca="false">IF(Q18="","",Q18+(1000-ROW())/100000)</f>
        <v>9.00982</v>
      </c>
    </row>
    <row r="19" customFormat="false" ht="99.75" hidden="false" customHeight="true" outlineLevel="0" collapsed="false">
      <c r="A19" s="9" t="s">
        <v>212</v>
      </c>
      <c r="B19" s="10" t="n">
        <v>46174</v>
      </c>
      <c r="C19" s="11" t="s">
        <v>213</v>
      </c>
      <c r="D19" s="11" t="s">
        <v>214</v>
      </c>
      <c r="E19" s="11" t="s">
        <v>215</v>
      </c>
      <c r="F19" s="11" t="s">
        <v>216</v>
      </c>
      <c r="G19" s="11" t="s">
        <v>217</v>
      </c>
      <c r="H19" s="12" t="n">
        <v>4</v>
      </c>
      <c r="I19" s="12" t="n">
        <v>3</v>
      </c>
      <c r="J19" s="13" t="n">
        <f aca="false">IF(OR(H19="",I19=""),"",H19*I19)</f>
        <v>12</v>
      </c>
      <c r="K19" s="14" t="str">
        <f aca="false">IF(J19="","",IF(J19&gt;=Scoring!$B$24,"Critical",IF(J19&gt;=Scoring!$B$23,"High",IF(J19&gt;=Scoring!$B$22,"Medium","Low"))))</f>
        <v>High</v>
      </c>
      <c r="L19" s="11" t="s">
        <v>218</v>
      </c>
      <c r="M19" s="11" t="s">
        <v>219</v>
      </c>
      <c r="N19" s="9" t="s">
        <v>83</v>
      </c>
      <c r="O19" s="12" t="n">
        <v>3</v>
      </c>
      <c r="P19" s="12" t="n">
        <v>2</v>
      </c>
      <c r="Q19" s="13" t="n">
        <f aca="false">IF(OR(O19="",P19=""),"",O19*P19)</f>
        <v>6</v>
      </c>
      <c r="R19" s="14" t="str">
        <f aca="false">IF(Q19="","",IF(Q19&gt;=Scoring!$B$24,"Critical",IF(Q19&gt;=Scoring!$B$23,"High",IF(Q19&gt;=Scoring!$B$22,"Medium","Low"))))</f>
        <v>Medium</v>
      </c>
      <c r="S19" s="14" t="str">
        <f aca="false">IF(Q19="","",IF(Q19&lt;=Scoring!$B$27,"Yes","No"))</f>
        <v>Yes</v>
      </c>
      <c r="T19" s="9" t="s">
        <v>84</v>
      </c>
      <c r="U19" s="11" t="s">
        <v>220</v>
      </c>
      <c r="V19" s="11" t="s">
        <v>221</v>
      </c>
      <c r="W19" s="10" t="n">
        <v>46477</v>
      </c>
      <c r="X19" s="9" t="s">
        <v>87</v>
      </c>
      <c r="Y19" s="11" t="s">
        <v>222</v>
      </c>
      <c r="Z19" s="10" t="n">
        <v>46291</v>
      </c>
      <c r="AA19" s="15" t="n">
        <f aca="false">IF(OR(Z19="",R19=""),"",Z19+INDEX(Scoring!$E$21:$E$24,MATCH(R19,Scoring!$A$21:$A$24,0)))</f>
        <v>46471</v>
      </c>
      <c r="AB19" s="16" t="n">
        <f aca="false">IF(Q19="","",Q19+(1000-ROW())/100000)</f>
        <v>6.00981</v>
      </c>
    </row>
    <row r="20" customFormat="false" ht="99.75" hidden="false" customHeight="true" outlineLevel="0" collapsed="false">
      <c r="A20" s="9" t="s">
        <v>223</v>
      </c>
      <c r="B20" s="10" t="n">
        <v>46188</v>
      </c>
      <c r="C20" s="11" t="s">
        <v>213</v>
      </c>
      <c r="D20" s="11" t="s">
        <v>224</v>
      </c>
      <c r="E20" s="11" t="s">
        <v>225</v>
      </c>
      <c r="F20" s="11" t="s">
        <v>226</v>
      </c>
      <c r="G20" s="11" t="s">
        <v>227</v>
      </c>
      <c r="H20" s="12" t="n">
        <v>4</v>
      </c>
      <c r="I20" s="12" t="n">
        <v>3</v>
      </c>
      <c r="J20" s="13" t="n">
        <f aca="false">IF(OR(H20="",I20=""),"",H20*I20)</f>
        <v>12</v>
      </c>
      <c r="K20" s="14" t="str">
        <f aca="false">IF(J20="","",IF(J20&gt;=Scoring!$B$24,"Critical",IF(J20&gt;=Scoring!$B$23,"High",IF(J20&gt;=Scoring!$B$22,"Medium","Low"))))</f>
        <v>High</v>
      </c>
      <c r="L20" s="11" t="s">
        <v>228</v>
      </c>
      <c r="M20" s="11" t="s">
        <v>229</v>
      </c>
      <c r="N20" s="9" t="s">
        <v>117</v>
      </c>
      <c r="O20" s="12" t="n">
        <v>3</v>
      </c>
      <c r="P20" s="12" t="n">
        <v>3</v>
      </c>
      <c r="Q20" s="13" t="n">
        <f aca="false">IF(OR(O20="",P20=""),"",O20*P20)</f>
        <v>9</v>
      </c>
      <c r="R20" s="14" t="str">
        <f aca="false">IF(Q20="","",IF(Q20&gt;=Scoring!$B$24,"Critical",IF(Q20&gt;=Scoring!$B$23,"High",IF(Q20&gt;=Scoring!$B$22,"Medium","Low"))))</f>
        <v>Medium</v>
      </c>
      <c r="S20" s="14" t="str">
        <f aca="false">IF(Q20="","",IF(Q20&lt;=Scoring!$B$27,"Yes","No"))</f>
        <v>Yes</v>
      </c>
      <c r="T20" s="9" t="s">
        <v>84</v>
      </c>
      <c r="U20" s="11" t="s">
        <v>230</v>
      </c>
      <c r="V20" s="11" t="s">
        <v>231</v>
      </c>
      <c r="W20" s="10" t="n">
        <v>46538</v>
      </c>
      <c r="X20" s="9" t="s">
        <v>99</v>
      </c>
      <c r="Y20" s="11" t="s">
        <v>232</v>
      </c>
      <c r="Z20" s="10" t="n">
        <v>46277</v>
      </c>
      <c r="AA20" s="15" t="n">
        <f aca="false">IF(OR(Z20="",R20=""),"",Z20+INDEX(Scoring!$E$21:$E$24,MATCH(R20,Scoring!$A$21:$A$24,0)))</f>
        <v>46457</v>
      </c>
      <c r="AB20" s="16" t="n">
        <f aca="false">IF(Q20="","",Q20+(1000-ROW())/100000)</f>
        <v>9.0098</v>
      </c>
    </row>
    <row r="21" customFormat="false" ht="99.75" hidden="false" customHeight="true" outlineLevel="0" collapsed="false">
      <c r="A21" s="9" t="s">
        <v>233</v>
      </c>
      <c r="B21" s="10" t="n">
        <v>46188</v>
      </c>
      <c r="C21" s="11" t="s">
        <v>213</v>
      </c>
      <c r="D21" s="11" t="s">
        <v>234</v>
      </c>
      <c r="E21" s="11" t="s">
        <v>235</v>
      </c>
      <c r="F21" s="11" t="s">
        <v>236</v>
      </c>
      <c r="G21" s="11" t="s">
        <v>227</v>
      </c>
      <c r="H21" s="12" t="n">
        <v>4</v>
      </c>
      <c r="I21" s="12" t="n">
        <v>3</v>
      </c>
      <c r="J21" s="13" t="n">
        <f aca="false">IF(OR(H21="",I21=""),"",H21*I21)</f>
        <v>12</v>
      </c>
      <c r="K21" s="14" t="str">
        <f aca="false">IF(J21="","",IF(J21&gt;=Scoring!$B$24,"Critical",IF(J21&gt;=Scoring!$B$23,"High",IF(J21&gt;=Scoring!$B$22,"Medium","Low"))))</f>
        <v>High</v>
      </c>
      <c r="L21" s="11" t="s">
        <v>237</v>
      </c>
      <c r="M21" s="11" t="s">
        <v>238</v>
      </c>
      <c r="N21" s="9" t="s">
        <v>83</v>
      </c>
      <c r="O21" s="12" t="n">
        <v>3</v>
      </c>
      <c r="P21" s="12" t="n">
        <v>2</v>
      </c>
      <c r="Q21" s="13" t="n">
        <f aca="false">IF(OR(O21="",P21=""),"",O21*P21)</f>
        <v>6</v>
      </c>
      <c r="R21" s="14" t="str">
        <f aca="false">IF(Q21="","",IF(Q21&gt;=Scoring!$B$24,"Critical",IF(Q21&gt;=Scoring!$B$23,"High",IF(Q21&gt;=Scoring!$B$22,"Medium","Low"))))</f>
        <v>Medium</v>
      </c>
      <c r="S21" s="14" t="str">
        <f aca="false">IF(Q21="","",IF(Q21&lt;=Scoring!$B$27,"Yes","No"))</f>
        <v>Yes</v>
      </c>
      <c r="T21" s="9" t="s">
        <v>84</v>
      </c>
      <c r="U21" s="11" t="s">
        <v>239</v>
      </c>
      <c r="V21" s="11" t="s">
        <v>240</v>
      </c>
      <c r="W21" s="10" t="n">
        <v>46446</v>
      </c>
      <c r="X21" s="9" t="s">
        <v>87</v>
      </c>
      <c r="Y21" s="11" t="s">
        <v>241</v>
      </c>
      <c r="Z21" s="10" t="n">
        <v>46288</v>
      </c>
      <c r="AA21" s="15" t="n">
        <f aca="false">IF(OR(Z21="",R21=""),"",Z21+INDEX(Scoring!$E$21:$E$24,MATCH(R21,Scoring!$A$21:$A$24,0)))</f>
        <v>46468</v>
      </c>
      <c r="AB21" s="16" t="n">
        <f aca="false">IF(Q21="","",Q21+(1000-ROW())/100000)</f>
        <v>6.00979</v>
      </c>
    </row>
    <row r="22" customFormat="false" ht="99.75" hidden="false" customHeight="true" outlineLevel="0" collapsed="false">
      <c r="A22" s="9" t="s">
        <v>242</v>
      </c>
      <c r="B22" s="10" t="n">
        <v>46209</v>
      </c>
      <c r="C22" s="11" t="s">
        <v>213</v>
      </c>
      <c r="D22" s="11" t="s">
        <v>243</v>
      </c>
      <c r="E22" s="11" t="s">
        <v>244</v>
      </c>
      <c r="F22" s="11" t="s">
        <v>245</v>
      </c>
      <c r="G22" s="11" t="s">
        <v>227</v>
      </c>
      <c r="H22" s="12" t="n">
        <v>3</v>
      </c>
      <c r="I22" s="12" t="n">
        <v>3</v>
      </c>
      <c r="J22" s="13" t="n">
        <f aca="false">IF(OR(H22="",I22=""),"",H22*I22)</f>
        <v>9</v>
      </c>
      <c r="K22" s="14" t="str">
        <f aca="false">IF(J22="","",IF(J22&gt;=Scoring!$B$24,"Critical",IF(J22&gt;=Scoring!$B$23,"High",IF(J22&gt;=Scoring!$B$22,"Medium","Low"))))</f>
        <v>Medium</v>
      </c>
      <c r="L22" s="11" t="s">
        <v>246</v>
      </c>
      <c r="M22" s="11" t="s">
        <v>247</v>
      </c>
      <c r="N22" s="9" t="s">
        <v>83</v>
      </c>
      <c r="O22" s="12" t="n">
        <v>3</v>
      </c>
      <c r="P22" s="12" t="n">
        <v>2</v>
      </c>
      <c r="Q22" s="13" t="n">
        <f aca="false">IF(OR(O22="",P22=""),"",O22*P22)</f>
        <v>6</v>
      </c>
      <c r="R22" s="14" t="str">
        <f aca="false">IF(Q22="","",IF(Q22&gt;=Scoring!$B$24,"Critical",IF(Q22&gt;=Scoring!$B$23,"High",IF(Q22&gt;=Scoring!$B$22,"Medium","Low"))))</f>
        <v>Medium</v>
      </c>
      <c r="S22" s="14" t="str">
        <f aca="false">IF(Q22="","",IF(Q22&lt;=Scoring!$B$27,"Yes","No"))</f>
        <v>Yes</v>
      </c>
      <c r="T22" s="9" t="s">
        <v>84</v>
      </c>
      <c r="U22" s="11" t="s">
        <v>248</v>
      </c>
      <c r="V22" s="11" t="s">
        <v>249</v>
      </c>
      <c r="W22" s="10" t="n">
        <v>46371</v>
      </c>
      <c r="X22" s="9" t="s">
        <v>99</v>
      </c>
      <c r="Y22" s="11" t="s">
        <v>250</v>
      </c>
      <c r="Z22" s="10" t="n">
        <v>46274</v>
      </c>
      <c r="AA22" s="15" t="n">
        <f aca="false">IF(OR(Z22="",R22=""),"",Z22+INDEX(Scoring!$E$21:$E$24,MATCH(R22,Scoring!$A$21:$A$24,0)))</f>
        <v>46454</v>
      </c>
      <c r="AB22" s="16" t="n">
        <f aca="false">IF(Q22="","",Q22+(1000-ROW())/100000)</f>
        <v>6.00978</v>
      </c>
    </row>
    <row r="23" customFormat="false" ht="99.75" hidden="false" customHeight="true" outlineLevel="0" collapsed="false">
      <c r="A23" s="9" t="s">
        <v>251</v>
      </c>
      <c r="B23" s="10" t="n">
        <v>46223</v>
      </c>
      <c r="C23" s="11" t="s">
        <v>252</v>
      </c>
      <c r="D23" s="11" t="s">
        <v>253</v>
      </c>
      <c r="E23" s="11" t="s">
        <v>254</v>
      </c>
      <c r="F23" s="11" t="s">
        <v>255</v>
      </c>
      <c r="G23" s="11" t="s">
        <v>93</v>
      </c>
      <c r="H23" s="12" t="n">
        <v>2</v>
      </c>
      <c r="I23" s="12" t="n">
        <v>5</v>
      </c>
      <c r="J23" s="13" t="n">
        <f aca="false">IF(OR(H23="",I23=""),"",H23*I23)</f>
        <v>10</v>
      </c>
      <c r="K23" s="14" t="str">
        <f aca="false">IF(J23="","",IF(J23&gt;=Scoring!$B$24,"Critical",IF(J23&gt;=Scoring!$B$23,"High",IF(J23&gt;=Scoring!$B$22,"Medium","Low"))))</f>
        <v>High</v>
      </c>
      <c r="L23" s="11" t="s">
        <v>256</v>
      </c>
      <c r="M23" s="11" t="s">
        <v>257</v>
      </c>
      <c r="N23" s="9" t="s">
        <v>83</v>
      </c>
      <c r="O23" s="12" t="n">
        <v>2</v>
      </c>
      <c r="P23" s="12" t="n">
        <v>4</v>
      </c>
      <c r="Q23" s="13" t="n">
        <f aca="false">IF(OR(O23="",P23=""),"",O23*P23)</f>
        <v>8</v>
      </c>
      <c r="R23" s="14" t="str">
        <f aca="false">IF(Q23="","",IF(Q23&gt;=Scoring!$B$24,"Critical",IF(Q23&gt;=Scoring!$B$23,"High",IF(Q23&gt;=Scoring!$B$22,"Medium","Low"))))</f>
        <v>Medium</v>
      </c>
      <c r="S23" s="14" t="str">
        <f aca="false">IF(Q23="","",IF(Q23&lt;=Scoring!$B$27,"Yes","No"))</f>
        <v>Yes</v>
      </c>
      <c r="T23" s="9" t="s">
        <v>84</v>
      </c>
      <c r="U23" s="11" t="s">
        <v>258</v>
      </c>
      <c r="V23" s="11" t="s">
        <v>259</v>
      </c>
      <c r="W23" s="10" t="n">
        <v>46660</v>
      </c>
      <c r="X23" s="9" t="s">
        <v>99</v>
      </c>
      <c r="Y23" s="11" t="s">
        <v>260</v>
      </c>
      <c r="Z23" s="10" t="n">
        <v>46279</v>
      </c>
      <c r="AA23" s="15" t="n">
        <f aca="false">IF(OR(Z23="",R23=""),"",Z23+INDEX(Scoring!$E$21:$E$24,MATCH(R23,Scoring!$A$21:$A$24,0)))</f>
        <v>46459</v>
      </c>
      <c r="AB23" s="16" t="n">
        <f aca="false">IF(Q23="","",Q23+(1000-ROW())/100000)</f>
        <v>8.00977</v>
      </c>
    </row>
    <row r="24" customFormat="false" ht="99.75" hidden="false" customHeight="true" outlineLevel="0" collapsed="false">
      <c r="A24" s="9" t="s">
        <v>261</v>
      </c>
      <c r="B24" s="10" t="n">
        <v>46237</v>
      </c>
      <c r="C24" s="11" t="s">
        <v>262</v>
      </c>
      <c r="D24" s="11" t="s">
        <v>263</v>
      </c>
      <c r="E24" s="11" t="s">
        <v>264</v>
      </c>
      <c r="F24" s="11" t="s">
        <v>265</v>
      </c>
      <c r="G24" s="11" t="s">
        <v>146</v>
      </c>
      <c r="H24" s="12" t="n">
        <v>4</v>
      </c>
      <c r="I24" s="12" t="n">
        <v>3</v>
      </c>
      <c r="J24" s="13" t="n">
        <f aca="false">IF(OR(H24="",I24=""),"",H24*I24)</f>
        <v>12</v>
      </c>
      <c r="K24" s="14" t="str">
        <f aca="false">IF(J24="","",IF(J24&gt;=Scoring!$B$24,"Critical",IF(J24&gt;=Scoring!$B$23,"High",IF(J24&gt;=Scoring!$B$22,"Medium","Low"))))</f>
        <v>High</v>
      </c>
      <c r="L24" s="11" t="s">
        <v>266</v>
      </c>
      <c r="M24" s="11" t="s">
        <v>267</v>
      </c>
      <c r="N24" s="9" t="s">
        <v>83</v>
      </c>
      <c r="O24" s="12" t="n">
        <v>3</v>
      </c>
      <c r="P24" s="12" t="n">
        <v>3</v>
      </c>
      <c r="Q24" s="13" t="n">
        <f aca="false">IF(OR(O24="",P24=""),"",O24*P24)</f>
        <v>9</v>
      </c>
      <c r="R24" s="14" t="str">
        <f aca="false">IF(Q24="","",IF(Q24&gt;=Scoring!$B$24,"Critical",IF(Q24&gt;=Scoring!$B$23,"High",IF(Q24&gt;=Scoring!$B$22,"Medium","Low"))))</f>
        <v>Medium</v>
      </c>
      <c r="S24" s="14" t="str">
        <f aca="false">IF(Q24="","",IF(Q24&lt;=Scoring!$B$27,"Yes","No"))</f>
        <v>Yes</v>
      </c>
      <c r="T24" s="9" t="s">
        <v>84</v>
      </c>
      <c r="U24" s="11" t="s">
        <v>268</v>
      </c>
      <c r="V24" s="11" t="s">
        <v>269</v>
      </c>
      <c r="W24" s="10" t="n">
        <v>46477</v>
      </c>
      <c r="X24" s="9" t="s">
        <v>87</v>
      </c>
      <c r="Y24" s="11" t="s">
        <v>270</v>
      </c>
      <c r="Z24" s="10" t="n">
        <v>46294</v>
      </c>
      <c r="AA24" s="15" t="n">
        <f aca="false">IF(OR(Z24="",R24=""),"",Z24+INDEX(Scoring!$E$21:$E$24,MATCH(R24,Scoring!$A$21:$A$24,0)))</f>
        <v>46474</v>
      </c>
      <c r="AB24" s="16" t="n">
        <f aca="false">IF(Q24="","",Q24+(1000-ROW())/100000)</f>
        <v>9.00976</v>
      </c>
    </row>
    <row r="25" customFormat="false" ht="99.75" hidden="false" customHeight="true" outlineLevel="0" collapsed="false">
      <c r="A25" s="9" t="s">
        <v>271</v>
      </c>
      <c r="B25" s="10" t="n">
        <v>46251</v>
      </c>
      <c r="C25" s="11" t="s">
        <v>262</v>
      </c>
      <c r="D25" s="11" t="s">
        <v>272</v>
      </c>
      <c r="E25" s="11" t="s">
        <v>273</v>
      </c>
      <c r="F25" s="11" t="s">
        <v>274</v>
      </c>
      <c r="G25" s="11" t="s">
        <v>146</v>
      </c>
      <c r="H25" s="12" t="n">
        <v>4</v>
      </c>
      <c r="I25" s="12" t="n">
        <v>4</v>
      </c>
      <c r="J25" s="13" t="n">
        <f aca="false">IF(OR(H25="",I25=""),"",H25*I25)</f>
        <v>16</v>
      </c>
      <c r="K25" s="14" t="str">
        <f aca="false">IF(J25="","",IF(J25&gt;=Scoring!$B$24,"Critical",IF(J25&gt;=Scoring!$B$23,"High",IF(J25&gt;=Scoring!$B$22,"Medium","Low"))))</f>
        <v>Critical</v>
      </c>
      <c r="L25" s="11" t="s">
        <v>275</v>
      </c>
      <c r="M25" s="11" t="s">
        <v>276</v>
      </c>
      <c r="N25" s="9" t="s">
        <v>83</v>
      </c>
      <c r="O25" s="12" t="n">
        <v>3</v>
      </c>
      <c r="P25" s="12" t="n">
        <v>3</v>
      </c>
      <c r="Q25" s="13" t="n">
        <f aca="false">IF(OR(O25="",P25=""),"",O25*P25)</f>
        <v>9</v>
      </c>
      <c r="R25" s="14" t="str">
        <f aca="false">IF(Q25="","",IF(Q25&gt;=Scoring!$B$24,"Critical",IF(Q25&gt;=Scoring!$B$23,"High",IF(Q25&gt;=Scoring!$B$22,"Medium","Low"))))</f>
        <v>Medium</v>
      </c>
      <c r="S25" s="14" t="str">
        <f aca="false">IF(Q25="","",IF(Q25&lt;=Scoring!$B$27,"Yes","No"))</f>
        <v>Yes</v>
      </c>
      <c r="T25" s="9" t="s">
        <v>84</v>
      </c>
      <c r="U25" s="11" t="s">
        <v>277</v>
      </c>
      <c r="V25" s="11" t="s">
        <v>278</v>
      </c>
      <c r="W25" s="10" t="n">
        <v>46387</v>
      </c>
      <c r="X25" s="9" t="s">
        <v>279</v>
      </c>
      <c r="Y25" s="11" t="s">
        <v>280</v>
      </c>
      <c r="Z25" s="10" t="n">
        <v>46297</v>
      </c>
      <c r="AA25" s="15" t="n">
        <f aca="false">IF(OR(Z25="",R25=""),"",Z25+INDEX(Scoring!$E$21:$E$24,MATCH(R25,Scoring!$A$21:$A$24,0)))</f>
        <v>46477</v>
      </c>
      <c r="AB25" s="16" t="n">
        <f aca="false">IF(Q25="","",Q25+(1000-ROW())/100000)</f>
        <v>9.00975</v>
      </c>
    </row>
    <row r="26" customFormat="false" ht="99.75" hidden="false" customHeight="true" outlineLevel="0" collapsed="false">
      <c r="A26" s="9" t="s">
        <v>281</v>
      </c>
      <c r="B26" s="10" t="n">
        <v>46266</v>
      </c>
      <c r="C26" s="11" t="s">
        <v>132</v>
      </c>
      <c r="D26" s="11" t="s">
        <v>282</v>
      </c>
      <c r="E26" s="11" t="s">
        <v>283</v>
      </c>
      <c r="F26" s="11" t="s">
        <v>284</v>
      </c>
      <c r="G26" s="11" t="s">
        <v>176</v>
      </c>
      <c r="H26" s="12" t="n">
        <v>3</v>
      </c>
      <c r="I26" s="12" t="n">
        <v>4</v>
      </c>
      <c r="J26" s="13" t="n">
        <f aca="false">IF(OR(H26="",I26=""),"",H26*I26)</f>
        <v>12</v>
      </c>
      <c r="K26" s="14" t="str">
        <f aca="false">IF(J26="","",IF(J26&gt;=Scoring!$B$24,"Critical",IF(J26&gt;=Scoring!$B$23,"High",IF(J26&gt;=Scoring!$B$22,"Medium","Low"))))</f>
        <v>High</v>
      </c>
      <c r="L26" s="11" t="s">
        <v>285</v>
      </c>
      <c r="M26" s="11" t="s">
        <v>286</v>
      </c>
      <c r="N26" s="9" t="s">
        <v>83</v>
      </c>
      <c r="O26" s="12" t="n">
        <v>2</v>
      </c>
      <c r="P26" s="12" t="n">
        <v>3</v>
      </c>
      <c r="Q26" s="13" t="n">
        <f aca="false">IF(OR(O26="",P26=""),"",O26*P26)</f>
        <v>6</v>
      </c>
      <c r="R26" s="14" t="str">
        <f aca="false">IF(Q26="","",IF(Q26&gt;=Scoring!$B$24,"Critical",IF(Q26&gt;=Scoring!$B$23,"High",IF(Q26&gt;=Scoring!$B$22,"Medium","Low"))))</f>
        <v>Medium</v>
      </c>
      <c r="S26" s="14" t="str">
        <f aca="false">IF(Q26="","",IF(Q26&lt;=Scoring!$B$27,"Yes","No"))</f>
        <v>Yes</v>
      </c>
      <c r="T26" s="9" t="s">
        <v>84</v>
      </c>
      <c r="U26" s="11" t="s">
        <v>287</v>
      </c>
      <c r="V26" s="11" t="s">
        <v>288</v>
      </c>
      <c r="W26" s="10" t="n">
        <v>46446</v>
      </c>
      <c r="X26" s="9" t="s">
        <v>99</v>
      </c>
      <c r="Y26" s="11" t="s">
        <v>289</v>
      </c>
      <c r="Z26" s="10" t="n">
        <v>46307</v>
      </c>
      <c r="AA26" s="15" t="n">
        <f aca="false">IF(OR(Z26="",R26=""),"",Z26+INDEX(Scoring!$E$21:$E$24,MATCH(R26,Scoring!$A$21:$A$24,0)))</f>
        <v>46487</v>
      </c>
      <c r="AB26" s="16" t="n">
        <f aca="false">IF(Q26="","",Q26+(1000-ROW())/100000)</f>
        <v>6.00974</v>
      </c>
    </row>
    <row r="27" customFormat="false" ht="99.75" hidden="false" customHeight="true" outlineLevel="0" collapsed="false">
      <c r="A27" s="9" t="s">
        <v>290</v>
      </c>
      <c r="B27" s="10" t="n">
        <v>46279</v>
      </c>
      <c r="C27" s="11" t="s">
        <v>252</v>
      </c>
      <c r="D27" s="11" t="s">
        <v>291</v>
      </c>
      <c r="E27" s="11" t="s">
        <v>292</v>
      </c>
      <c r="F27" s="11" t="s">
        <v>293</v>
      </c>
      <c r="G27" s="11" t="s">
        <v>93</v>
      </c>
      <c r="H27" s="12" t="n">
        <v>2</v>
      </c>
      <c r="I27" s="12" t="n">
        <v>4</v>
      </c>
      <c r="J27" s="13" t="n">
        <f aca="false">IF(OR(H27="",I27=""),"",H27*I27)</f>
        <v>8</v>
      </c>
      <c r="K27" s="14" t="str">
        <f aca="false">IF(J27="","",IF(J27&gt;=Scoring!$B$24,"Critical",IF(J27&gt;=Scoring!$B$23,"High",IF(J27&gt;=Scoring!$B$22,"Medium","Low"))))</f>
        <v>Medium</v>
      </c>
      <c r="L27" s="11" t="s">
        <v>294</v>
      </c>
      <c r="M27" s="11" t="s">
        <v>295</v>
      </c>
      <c r="N27" s="9" t="s">
        <v>296</v>
      </c>
      <c r="O27" s="12" t="n">
        <v>2</v>
      </c>
      <c r="P27" s="12" t="n">
        <v>3</v>
      </c>
      <c r="Q27" s="13" t="n">
        <f aca="false">IF(OR(O27="",P27=""),"",O27*P27)</f>
        <v>6</v>
      </c>
      <c r="R27" s="14" t="str">
        <f aca="false">IF(Q27="","",IF(Q27&gt;=Scoring!$B$24,"Critical",IF(Q27&gt;=Scoring!$B$23,"High",IF(Q27&gt;=Scoring!$B$22,"Medium","Low"))))</f>
        <v>Medium</v>
      </c>
      <c r="S27" s="14" t="str">
        <f aca="false">IF(Q27="","",IF(Q27&lt;=Scoring!$B$27,"Yes","No"))</f>
        <v>Yes</v>
      </c>
      <c r="T27" s="9" t="s">
        <v>297</v>
      </c>
      <c r="U27" s="11" t="s">
        <v>298</v>
      </c>
      <c r="V27" s="11" t="s">
        <v>98</v>
      </c>
      <c r="W27" s="10"/>
      <c r="X27" s="9" t="s">
        <v>279</v>
      </c>
      <c r="Y27" s="11" t="s">
        <v>299</v>
      </c>
      <c r="Z27" s="10" t="n">
        <v>46296</v>
      </c>
      <c r="AA27" s="15" t="n">
        <f aca="false">IF(OR(Z27="",R27=""),"",Z27+INDEX(Scoring!$E$21:$E$24,MATCH(R27,Scoring!$A$21:$A$24,0)))</f>
        <v>46476</v>
      </c>
      <c r="AB27" s="16" t="n">
        <f aca="false">IF(Q27="","",Q27+(1000-ROW())/100000)</f>
        <v>6.00973</v>
      </c>
    </row>
    <row r="28" customFormat="false" ht="99.75" hidden="false" customHeight="true" outlineLevel="0" collapsed="false">
      <c r="A28" s="9" t="s">
        <v>300</v>
      </c>
      <c r="B28" s="10" t="n">
        <v>46042</v>
      </c>
      <c r="C28" s="11" t="s">
        <v>184</v>
      </c>
      <c r="D28" s="11" t="s">
        <v>301</v>
      </c>
      <c r="E28" s="11" t="s">
        <v>302</v>
      </c>
      <c r="F28" s="11" t="s">
        <v>303</v>
      </c>
      <c r="G28" s="11" t="s">
        <v>156</v>
      </c>
      <c r="H28" s="12" t="n">
        <v>3</v>
      </c>
      <c r="I28" s="12" t="n">
        <v>5</v>
      </c>
      <c r="J28" s="13" t="n">
        <f aca="false">IF(OR(H28="",I28=""),"",H28*I28)</f>
        <v>15</v>
      </c>
      <c r="K28" s="14" t="str">
        <f aca="false">IF(J28="","",IF(J28&gt;=Scoring!$B$24,"Critical",IF(J28&gt;=Scoring!$B$23,"High",IF(J28&gt;=Scoring!$B$22,"Medium","Low"))))</f>
        <v>Critical</v>
      </c>
      <c r="L28" s="11" t="s">
        <v>304</v>
      </c>
      <c r="M28" s="11" t="s">
        <v>305</v>
      </c>
      <c r="N28" s="9" t="s">
        <v>83</v>
      </c>
      <c r="O28" s="12" t="n">
        <v>2</v>
      </c>
      <c r="P28" s="12" t="n">
        <v>4</v>
      </c>
      <c r="Q28" s="13" t="n">
        <f aca="false">IF(OR(O28="",P28=""),"",O28*P28)</f>
        <v>8</v>
      </c>
      <c r="R28" s="14" t="str">
        <f aca="false">IF(Q28="","",IF(Q28&gt;=Scoring!$B$24,"Critical",IF(Q28&gt;=Scoring!$B$23,"High",IF(Q28&gt;=Scoring!$B$22,"Medium","Low"))))</f>
        <v>Medium</v>
      </c>
      <c r="S28" s="14" t="str">
        <f aca="false">IF(Q28="","",IF(Q28&lt;=Scoring!$B$27,"Yes","No"))</f>
        <v>Yes</v>
      </c>
      <c r="T28" s="9" t="s">
        <v>84</v>
      </c>
      <c r="U28" s="11" t="s">
        <v>306</v>
      </c>
      <c r="V28" s="11" t="s">
        <v>307</v>
      </c>
      <c r="W28" s="10" t="n">
        <v>46477</v>
      </c>
      <c r="X28" s="9" t="s">
        <v>87</v>
      </c>
      <c r="Y28" s="11" t="s">
        <v>308</v>
      </c>
      <c r="Z28" s="10" t="n">
        <v>46252</v>
      </c>
      <c r="AA28" s="15" t="n">
        <f aca="false">IF(OR(Z28="",R28=""),"",Z28+INDEX(Scoring!$E$21:$E$24,MATCH(R28,Scoring!$A$21:$A$24,0)))</f>
        <v>46432</v>
      </c>
      <c r="AB28" s="16" t="n">
        <f aca="false">IF(Q28="","",Q28+(1000-ROW())/100000)</f>
        <v>8.00972</v>
      </c>
    </row>
    <row r="29" customFormat="false" ht="99.75" hidden="false" customHeight="true" outlineLevel="0" collapsed="false">
      <c r="A29" s="9" t="s">
        <v>309</v>
      </c>
      <c r="B29" s="10" t="n">
        <v>46047</v>
      </c>
      <c r="C29" s="11" t="s">
        <v>184</v>
      </c>
      <c r="D29" s="11" t="s">
        <v>310</v>
      </c>
      <c r="E29" s="11" t="s">
        <v>311</v>
      </c>
      <c r="F29" s="11" t="s">
        <v>312</v>
      </c>
      <c r="G29" s="11" t="s">
        <v>307</v>
      </c>
      <c r="H29" s="12" t="n">
        <v>4</v>
      </c>
      <c r="I29" s="12" t="n">
        <v>3</v>
      </c>
      <c r="J29" s="13" t="n">
        <f aca="false">IF(OR(H29="",I29=""),"",H29*I29)</f>
        <v>12</v>
      </c>
      <c r="K29" s="14" t="str">
        <f aca="false">IF(J29="","",IF(J29&gt;=Scoring!$B$24,"Critical",IF(J29&gt;=Scoring!$B$23,"High",IF(J29&gt;=Scoring!$B$22,"Medium","Low"))))</f>
        <v>High</v>
      </c>
      <c r="L29" s="11" t="s">
        <v>313</v>
      </c>
      <c r="M29" s="11" t="s">
        <v>314</v>
      </c>
      <c r="N29" s="9" t="s">
        <v>83</v>
      </c>
      <c r="O29" s="12" t="n">
        <v>3</v>
      </c>
      <c r="P29" s="12" t="n">
        <v>2</v>
      </c>
      <c r="Q29" s="13" t="n">
        <f aca="false">IF(OR(O29="",P29=""),"",O29*P29)</f>
        <v>6</v>
      </c>
      <c r="R29" s="14" t="str">
        <f aca="false">IF(Q29="","",IF(Q29&gt;=Scoring!$B$24,"Critical",IF(Q29&gt;=Scoring!$B$23,"High",IF(Q29&gt;=Scoring!$B$22,"Medium","Low"))))</f>
        <v>Medium</v>
      </c>
      <c r="S29" s="14" t="str">
        <f aca="false">IF(Q29="","",IF(Q29&lt;=Scoring!$B$27,"Yes","No"))</f>
        <v>Yes</v>
      </c>
      <c r="T29" s="9" t="s">
        <v>84</v>
      </c>
      <c r="U29" s="11" t="s">
        <v>315</v>
      </c>
      <c r="V29" s="11" t="s">
        <v>210</v>
      </c>
      <c r="W29" s="10" t="n">
        <v>46371</v>
      </c>
      <c r="X29" s="9" t="s">
        <v>87</v>
      </c>
      <c r="Y29" s="11" t="s">
        <v>316</v>
      </c>
      <c r="Z29" s="10" t="n">
        <v>46259</v>
      </c>
      <c r="AA29" s="15" t="n">
        <f aca="false">IF(OR(Z29="",R29=""),"",Z29+INDEX(Scoring!$E$21:$E$24,MATCH(R29,Scoring!$A$21:$A$24,0)))</f>
        <v>46439</v>
      </c>
      <c r="AB29" s="16" t="n">
        <f aca="false">IF(Q29="","",Q29+(1000-ROW())/100000)</f>
        <v>6.00971</v>
      </c>
    </row>
    <row r="30" customFormat="false" ht="99.75" hidden="false" customHeight="true" outlineLevel="0" collapsed="false">
      <c r="A30" s="9" t="s">
        <v>317</v>
      </c>
      <c r="B30" s="10" t="n">
        <v>46052</v>
      </c>
      <c r="C30" s="11" t="s">
        <v>184</v>
      </c>
      <c r="D30" s="11" t="s">
        <v>318</v>
      </c>
      <c r="E30" s="11" t="s">
        <v>319</v>
      </c>
      <c r="F30" s="11" t="s">
        <v>320</v>
      </c>
      <c r="G30" s="11" t="s">
        <v>217</v>
      </c>
      <c r="H30" s="12" t="n">
        <v>4</v>
      </c>
      <c r="I30" s="12" t="n">
        <v>3</v>
      </c>
      <c r="J30" s="13" t="n">
        <f aca="false">IF(OR(H30="",I30=""),"",H30*I30)</f>
        <v>12</v>
      </c>
      <c r="K30" s="14" t="str">
        <f aca="false">IF(J30="","",IF(J30&gt;=Scoring!$B$24,"Critical",IF(J30&gt;=Scoring!$B$23,"High",IF(J30&gt;=Scoring!$B$22,"Medium","Low"))))</f>
        <v>High</v>
      </c>
      <c r="L30" s="11" t="s">
        <v>321</v>
      </c>
      <c r="M30" s="11" t="s">
        <v>322</v>
      </c>
      <c r="N30" s="9" t="s">
        <v>117</v>
      </c>
      <c r="O30" s="12" t="n">
        <v>3</v>
      </c>
      <c r="P30" s="12" t="n">
        <v>2</v>
      </c>
      <c r="Q30" s="13" t="n">
        <f aca="false">IF(OR(O30="",P30=""),"",O30*P30)</f>
        <v>6</v>
      </c>
      <c r="R30" s="14" t="str">
        <f aca="false">IF(Q30="","",IF(Q30&gt;=Scoring!$B$24,"Critical",IF(Q30&gt;=Scoring!$B$23,"High",IF(Q30&gt;=Scoring!$B$22,"Medium","Low"))))</f>
        <v>Medium</v>
      </c>
      <c r="S30" s="14" t="str">
        <f aca="false">IF(Q30="","",IF(Q30&lt;=Scoring!$B$27,"Yes","No"))</f>
        <v>Yes</v>
      </c>
      <c r="T30" s="9" t="s">
        <v>84</v>
      </c>
      <c r="U30" s="11" t="s">
        <v>323</v>
      </c>
      <c r="V30" s="11" t="s">
        <v>324</v>
      </c>
      <c r="W30" s="10" t="n">
        <v>46418</v>
      </c>
      <c r="X30" s="9" t="s">
        <v>87</v>
      </c>
      <c r="Y30" s="11" t="s">
        <v>325</v>
      </c>
      <c r="Z30" s="10" t="n">
        <v>46266</v>
      </c>
      <c r="AA30" s="15" t="n">
        <f aca="false">IF(OR(Z30="",R30=""),"",Z30+INDEX(Scoring!$E$21:$E$24,MATCH(R30,Scoring!$A$21:$A$24,0)))</f>
        <v>46446</v>
      </c>
      <c r="AB30" s="16" t="n">
        <f aca="false">IF(Q30="","",Q30+(1000-ROW())/100000)</f>
        <v>6.0097</v>
      </c>
    </row>
    <row r="31" customFormat="false" ht="99.75" hidden="false" customHeight="true" outlineLevel="0" collapsed="false">
      <c r="A31" s="9" t="s">
        <v>326</v>
      </c>
      <c r="B31" s="10" t="n">
        <v>46057</v>
      </c>
      <c r="C31" s="11" t="s">
        <v>184</v>
      </c>
      <c r="D31" s="11" t="s">
        <v>327</v>
      </c>
      <c r="E31" s="11" t="s">
        <v>328</v>
      </c>
      <c r="F31" s="11" t="s">
        <v>329</v>
      </c>
      <c r="G31" s="11" t="s">
        <v>146</v>
      </c>
      <c r="H31" s="12" t="n">
        <v>4</v>
      </c>
      <c r="I31" s="12" t="n">
        <v>3</v>
      </c>
      <c r="J31" s="13" t="n">
        <f aca="false">IF(OR(H31="",I31=""),"",H31*I31)</f>
        <v>12</v>
      </c>
      <c r="K31" s="14" t="str">
        <f aca="false">IF(J31="","",IF(J31&gt;=Scoring!$B$24,"Critical",IF(J31&gt;=Scoring!$B$23,"High",IF(J31&gt;=Scoring!$B$22,"Medium","Low"))))</f>
        <v>High</v>
      </c>
      <c r="L31" s="11" t="s">
        <v>330</v>
      </c>
      <c r="M31" s="11" t="s">
        <v>331</v>
      </c>
      <c r="N31" s="9" t="s">
        <v>83</v>
      </c>
      <c r="O31" s="12" t="n">
        <v>3</v>
      </c>
      <c r="P31" s="12" t="n">
        <v>2</v>
      </c>
      <c r="Q31" s="13" t="n">
        <f aca="false">IF(OR(O31="",P31=""),"",O31*P31)</f>
        <v>6</v>
      </c>
      <c r="R31" s="14" t="str">
        <f aca="false">IF(Q31="","",IF(Q31&gt;=Scoring!$B$24,"Critical",IF(Q31&gt;=Scoring!$B$23,"High",IF(Q31&gt;=Scoring!$B$22,"Medium","Low"))))</f>
        <v>Medium</v>
      </c>
      <c r="S31" s="14" t="str">
        <f aca="false">IF(Q31="","",IF(Q31&lt;=Scoring!$B$27,"Yes","No"))</f>
        <v>Yes</v>
      </c>
      <c r="T31" s="9" t="s">
        <v>84</v>
      </c>
      <c r="U31" s="11" t="s">
        <v>332</v>
      </c>
      <c r="V31" s="11" t="s">
        <v>333</v>
      </c>
      <c r="W31" s="10" t="n">
        <v>46387</v>
      </c>
      <c r="X31" s="9" t="s">
        <v>99</v>
      </c>
      <c r="Y31" s="11" t="s">
        <v>334</v>
      </c>
      <c r="Z31" s="10" t="n">
        <v>46273</v>
      </c>
      <c r="AA31" s="15" t="n">
        <f aca="false">IF(OR(Z31="",R31=""),"",Z31+INDEX(Scoring!$E$21:$E$24,MATCH(R31,Scoring!$A$21:$A$24,0)))</f>
        <v>46453</v>
      </c>
      <c r="AB31" s="16" t="n">
        <f aca="false">IF(Q31="","",Q31+(1000-ROW())/100000)</f>
        <v>6.00969</v>
      </c>
    </row>
    <row r="32" customFormat="false" ht="99.75" hidden="false" customHeight="true" outlineLevel="0" collapsed="false">
      <c r="A32" s="9" t="s">
        <v>335</v>
      </c>
      <c r="B32" s="10" t="n">
        <v>46062</v>
      </c>
      <c r="C32" s="11" t="s">
        <v>184</v>
      </c>
      <c r="D32" s="11" t="s">
        <v>336</v>
      </c>
      <c r="E32" s="11" t="s">
        <v>337</v>
      </c>
      <c r="F32" s="11" t="s">
        <v>338</v>
      </c>
      <c r="G32" s="11" t="s">
        <v>156</v>
      </c>
      <c r="H32" s="12" t="n">
        <v>4</v>
      </c>
      <c r="I32" s="12" t="n">
        <v>4</v>
      </c>
      <c r="J32" s="13" t="n">
        <f aca="false">IF(OR(H32="",I32=""),"",H32*I32)</f>
        <v>16</v>
      </c>
      <c r="K32" s="14" t="str">
        <f aca="false">IF(J32="","",IF(J32&gt;=Scoring!$B$24,"Critical",IF(J32&gt;=Scoring!$B$23,"High",IF(J32&gt;=Scoring!$B$22,"Medium","Low"))))</f>
        <v>Critical</v>
      </c>
      <c r="L32" s="11" t="s">
        <v>339</v>
      </c>
      <c r="M32" s="11" t="s">
        <v>340</v>
      </c>
      <c r="N32" s="9" t="s">
        <v>117</v>
      </c>
      <c r="O32" s="12" t="n">
        <v>3</v>
      </c>
      <c r="P32" s="12" t="n">
        <v>3</v>
      </c>
      <c r="Q32" s="13" t="n">
        <f aca="false">IF(OR(O32="",P32=""),"",O32*P32)</f>
        <v>9</v>
      </c>
      <c r="R32" s="14" t="str">
        <f aca="false">IF(Q32="","",IF(Q32&gt;=Scoring!$B$24,"Critical",IF(Q32&gt;=Scoring!$B$23,"High",IF(Q32&gt;=Scoring!$B$22,"Medium","Low"))))</f>
        <v>Medium</v>
      </c>
      <c r="S32" s="14" t="str">
        <f aca="false">IF(Q32="","",IF(Q32&lt;=Scoring!$B$27,"Yes","No"))</f>
        <v>Yes</v>
      </c>
      <c r="T32" s="9" t="s">
        <v>84</v>
      </c>
      <c r="U32" s="11" t="s">
        <v>341</v>
      </c>
      <c r="V32" s="11" t="s">
        <v>342</v>
      </c>
      <c r="W32" s="10" t="n">
        <v>46507</v>
      </c>
      <c r="X32" s="9" t="s">
        <v>99</v>
      </c>
      <c r="Y32" s="11" t="s">
        <v>343</v>
      </c>
      <c r="Z32" s="10" t="n">
        <v>46280</v>
      </c>
      <c r="AA32" s="15" t="n">
        <f aca="false">IF(OR(Z32="",R32=""),"",Z32+INDEX(Scoring!$E$21:$E$24,MATCH(R32,Scoring!$A$21:$A$24,0)))</f>
        <v>46460</v>
      </c>
      <c r="AB32" s="16" t="n">
        <f aca="false">IF(Q32="","",Q32+(1000-ROW())/100000)</f>
        <v>9.00968</v>
      </c>
    </row>
    <row r="33" customFormat="false" ht="99.75" hidden="false" customHeight="true" outlineLevel="0" collapsed="false">
      <c r="A33" s="9" t="s">
        <v>344</v>
      </c>
      <c r="B33" s="10" t="n">
        <v>46067</v>
      </c>
      <c r="C33" s="11" t="s">
        <v>184</v>
      </c>
      <c r="D33" s="11" t="s">
        <v>345</v>
      </c>
      <c r="E33" s="11" t="s">
        <v>346</v>
      </c>
      <c r="F33" s="11" t="s">
        <v>347</v>
      </c>
      <c r="G33" s="11" t="s">
        <v>348</v>
      </c>
      <c r="H33" s="12" t="n">
        <v>4</v>
      </c>
      <c r="I33" s="12" t="n">
        <v>3</v>
      </c>
      <c r="J33" s="13" t="n">
        <f aca="false">IF(OR(H33="",I33=""),"",H33*I33)</f>
        <v>12</v>
      </c>
      <c r="K33" s="14" t="str">
        <f aca="false">IF(J33="","",IF(J33&gt;=Scoring!$B$24,"Critical",IF(J33&gt;=Scoring!$B$23,"High",IF(J33&gt;=Scoring!$B$22,"Medium","Low"))))</f>
        <v>High</v>
      </c>
      <c r="L33" s="11" t="s">
        <v>349</v>
      </c>
      <c r="M33" s="11" t="s">
        <v>350</v>
      </c>
      <c r="N33" s="9" t="s">
        <v>83</v>
      </c>
      <c r="O33" s="12" t="n">
        <v>3</v>
      </c>
      <c r="P33" s="12" t="n">
        <v>2</v>
      </c>
      <c r="Q33" s="13" t="n">
        <f aca="false">IF(OR(O33="",P33=""),"",O33*P33)</f>
        <v>6</v>
      </c>
      <c r="R33" s="14" t="str">
        <f aca="false">IF(Q33="","",IF(Q33&gt;=Scoring!$B$24,"Critical",IF(Q33&gt;=Scoring!$B$23,"High",IF(Q33&gt;=Scoring!$B$22,"Medium","Low"))))</f>
        <v>Medium</v>
      </c>
      <c r="S33" s="14" t="str">
        <f aca="false">IF(Q33="","",IF(Q33&lt;=Scoring!$B$27,"Yes","No"))</f>
        <v>Yes</v>
      </c>
      <c r="T33" s="9" t="s">
        <v>84</v>
      </c>
      <c r="U33" s="11" t="s">
        <v>351</v>
      </c>
      <c r="V33" s="11" t="s">
        <v>352</v>
      </c>
      <c r="W33" s="10" t="n">
        <v>46446</v>
      </c>
      <c r="X33" s="9" t="s">
        <v>87</v>
      </c>
      <c r="Y33" s="11" t="s">
        <v>353</v>
      </c>
      <c r="Z33" s="10" t="n">
        <v>46287</v>
      </c>
      <c r="AA33" s="15" t="n">
        <f aca="false">IF(OR(Z33="",R33=""),"",Z33+INDEX(Scoring!$E$21:$E$24,MATCH(R33,Scoring!$A$21:$A$24,0)))</f>
        <v>46467</v>
      </c>
      <c r="AB33" s="16" t="n">
        <f aca="false">IF(Q33="","",Q33+(1000-ROW())/100000)</f>
        <v>6.00967</v>
      </c>
    </row>
    <row r="34" customFormat="false" ht="99.75" hidden="false" customHeight="true" outlineLevel="0" collapsed="false">
      <c r="A34" s="9" t="s">
        <v>354</v>
      </c>
      <c r="B34" s="10" t="n">
        <v>46072</v>
      </c>
      <c r="C34" s="11" t="s">
        <v>184</v>
      </c>
      <c r="D34" s="11" t="s">
        <v>355</v>
      </c>
      <c r="E34" s="11" t="s">
        <v>356</v>
      </c>
      <c r="F34" s="11" t="s">
        <v>357</v>
      </c>
      <c r="G34" s="11" t="s">
        <v>93</v>
      </c>
      <c r="H34" s="12" t="n">
        <v>3</v>
      </c>
      <c r="I34" s="12" t="n">
        <v>3</v>
      </c>
      <c r="J34" s="13" t="n">
        <f aca="false">IF(OR(H34="",I34=""),"",H34*I34)</f>
        <v>9</v>
      </c>
      <c r="K34" s="14" t="str">
        <f aca="false">IF(J34="","",IF(J34&gt;=Scoring!$B$24,"Critical",IF(J34&gt;=Scoring!$B$23,"High",IF(J34&gt;=Scoring!$B$22,"Medium","Low"))))</f>
        <v>Medium</v>
      </c>
      <c r="L34" s="11" t="s">
        <v>358</v>
      </c>
      <c r="M34" s="11" t="s">
        <v>359</v>
      </c>
      <c r="N34" s="9" t="s">
        <v>117</v>
      </c>
      <c r="O34" s="12" t="n">
        <v>3</v>
      </c>
      <c r="P34" s="12" t="n">
        <v>2</v>
      </c>
      <c r="Q34" s="13" t="n">
        <f aca="false">IF(OR(O34="",P34=""),"",O34*P34)</f>
        <v>6</v>
      </c>
      <c r="R34" s="14" t="str">
        <f aca="false">IF(Q34="","",IF(Q34&gt;=Scoring!$B$24,"Critical",IF(Q34&gt;=Scoring!$B$23,"High",IF(Q34&gt;=Scoring!$B$22,"Medium","Low"))))</f>
        <v>Medium</v>
      </c>
      <c r="S34" s="14" t="str">
        <f aca="false">IF(Q34="","",IF(Q34&lt;=Scoring!$B$27,"Yes","No"))</f>
        <v>Yes</v>
      </c>
      <c r="T34" s="9" t="s">
        <v>84</v>
      </c>
      <c r="U34" s="11" t="s">
        <v>360</v>
      </c>
      <c r="V34" s="11" t="s">
        <v>210</v>
      </c>
      <c r="W34" s="10" t="n">
        <v>46418</v>
      </c>
      <c r="X34" s="9" t="s">
        <v>99</v>
      </c>
      <c r="Y34" s="11" t="s">
        <v>361</v>
      </c>
      <c r="Z34" s="10" t="n">
        <v>46294</v>
      </c>
      <c r="AA34" s="15" t="n">
        <f aca="false">IF(OR(Z34="",R34=""),"",Z34+INDEX(Scoring!$E$21:$E$24,MATCH(R34,Scoring!$A$21:$A$24,0)))</f>
        <v>46474</v>
      </c>
      <c r="AB34" s="16" t="n">
        <f aca="false">IF(Q34="","",Q34+(1000-ROW())/100000)</f>
        <v>6.00966</v>
      </c>
    </row>
    <row r="35" customFormat="false" ht="99.75" hidden="false" customHeight="true" outlineLevel="0" collapsed="false">
      <c r="A35" s="9" t="s">
        <v>362</v>
      </c>
      <c r="B35" s="10" t="n">
        <v>46077</v>
      </c>
      <c r="C35" s="11" t="s">
        <v>184</v>
      </c>
      <c r="D35" s="11" t="s">
        <v>363</v>
      </c>
      <c r="E35" s="11" t="s">
        <v>364</v>
      </c>
      <c r="F35" s="11" t="s">
        <v>365</v>
      </c>
      <c r="G35" s="11" t="s">
        <v>156</v>
      </c>
      <c r="H35" s="12" t="n">
        <v>3</v>
      </c>
      <c r="I35" s="12" t="n">
        <v>4</v>
      </c>
      <c r="J35" s="13" t="n">
        <f aca="false">IF(OR(H35="",I35=""),"",H35*I35)</f>
        <v>12</v>
      </c>
      <c r="K35" s="14" t="str">
        <f aca="false">IF(J35="","",IF(J35&gt;=Scoring!$B$24,"Critical",IF(J35&gt;=Scoring!$B$23,"High",IF(J35&gt;=Scoring!$B$22,"Medium","Low"))))</f>
        <v>High</v>
      </c>
      <c r="L35" s="11" t="s">
        <v>366</v>
      </c>
      <c r="M35" s="11" t="s">
        <v>367</v>
      </c>
      <c r="N35" s="9" t="s">
        <v>83</v>
      </c>
      <c r="O35" s="12" t="n">
        <v>2</v>
      </c>
      <c r="P35" s="12" t="n">
        <v>4</v>
      </c>
      <c r="Q35" s="13" t="n">
        <f aca="false">IF(OR(O35="",P35=""),"",O35*P35)</f>
        <v>8</v>
      </c>
      <c r="R35" s="14" t="str">
        <f aca="false">IF(Q35="","",IF(Q35&gt;=Scoring!$B$24,"Critical",IF(Q35&gt;=Scoring!$B$23,"High",IF(Q35&gt;=Scoring!$B$22,"Medium","Low"))))</f>
        <v>Medium</v>
      </c>
      <c r="S35" s="14" t="str">
        <f aca="false">IF(Q35="","",IF(Q35&lt;=Scoring!$B$27,"Yes","No"))</f>
        <v>Yes</v>
      </c>
      <c r="T35" s="9" t="s">
        <v>84</v>
      </c>
      <c r="U35" s="11" t="s">
        <v>368</v>
      </c>
      <c r="V35" s="11" t="s">
        <v>221</v>
      </c>
      <c r="W35" s="10" t="n">
        <v>46538</v>
      </c>
      <c r="X35" s="9" t="s">
        <v>99</v>
      </c>
      <c r="Y35" s="11" t="s">
        <v>369</v>
      </c>
      <c r="Z35" s="10" t="n">
        <v>46301</v>
      </c>
      <c r="AA35" s="15" t="n">
        <f aca="false">IF(OR(Z35="",R35=""),"",Z35+INDEX(Scoring!$E$21:$E$24,MATCH(R35,Scoring!$A$21:$A$24,0)))</f>
        <v>46481</v>
      </c>
      <c r="AB35" s="16" t="n">
        <f aca="false">IF(Q35="","",Q35+(1000-ROW())/100000)</f>
        <v>8.00965</v>
      </c>
    </row>
    <row r="36" customFormat="false" ht="99.75" hidden="false" customHeight="true" outlineLevel="0" collapsed="false">
      <c r="A36" s="9" t="s">
        <v>370</v>
      </c>
      <c r="B36" s="10" t="n">
        <v>46082</v>
      </c>
      <c r="C36" s="11" t="s">
        <v>371</v>
      </c>
      <c r="D36" s="11" t="s">
        <v>372</v>
      </c>
      <c r="E36" s="11" t="s">
        <v>373</v>
      </c>
      <c r="F36" s="11" t="s">
        <v>374</v>
      </c>
      <c r="G36" s="11" t="s">
        <v>375</v>
      </c>
      <c r="H36" s="12" t="n">
        <v>4</v>
      </c>
      <c r="I36" s="12" t="n">
        <v>4</v>
      </c>
      <c r="J36" s="13" t="n">
        <f aca="false">IF(OR(H36="",I36=""),"",H36*I36)</f>
        <v>16</v>
      </c>
      <c r="K36" s="14" t="str">
        <f aca="false">IF(J36="","",IF(J36&gt;=Scoring!$B$24,"Critical",IF(J36&gt;=Scoring!$B$23,"High",IF(J36&gt;=Scoring!$B$22,"Medium","Low"))))</f>
        <v>Critical</v>
      </c>
      <c r="L36" s="11" t="s">
        <v>376</v>
      </c>
      <c r="M36" s="11" t="s">
        <v>377</v>
      </c>
      <c r="N36" s="9" t="s">
        <v>117</v>
      </c>
      <c r="O36" s="12" t="n">
        <v>3</v>
      </c>
      <c r="P36" s="12" t="n">
        <v>4</v>
      </c>
      <c r="Q36" s="13" t="n">
        <f aca="false">IF(OR(O36="",P36=""),"",O36*P36)</f>
        <v>12</v>
      </c>
      <c r="R36" s="14" t="str">
        <f aca="false">IF(Q36="","",IF(Q36&gt;=Scoring!$B$24,"Critical",IF(Q36&gt;=Scoring!$B$23,"High",IF(Q36&gt;=Scoring!$B$22,"Medium","Low"))))</f>
        <v>High</v>
      </c>
      <c r="S36" s="14" t="str">
        <f aca="false">IF(Q36="","",IF(Q36&lt;=Scoring!$B$27,"Yes","No"))</f>
        <v>No</v>
      </c>
      <c r="T36" s="9" t="s">
        <v>84</v>
      </c>
      <c r="U36" s="11" t="s">
        <v>378</v>
      </c>
      <c r="V36" s="11" t="s">
        <v>379</v>
      </c>
      <c r="W36" s="10" t="n">
        <v>46295</v>
      </c>
      <c r="X36" s="9" t="s">
        <v>87</v>
      </c>
      <c r="Y36" s="11" t="s">
        <v>380</v>
      </c>
      <c r="Z36" s="10" t="n">
        <v>46253</v>
      </c>
      <c r="AA36" s="15" t="n">
        <f aca="false">IF(OR(Z36="",R36=""),"",Z36+INDEX(Scoring!$E$21:$E$24,MATCH(R36,Scoring!$A$21:$A$24,0)))</f>
        <v>46343</v>
      </c>
      <c r="AB36" s="16" t="n">
        <f aca="false">IF(Q36="","",Q36+(1000-ROW())/100000)</f>
        <v>12.00964</v>
      </c>
    </row>
    <row r="37" customFormat="false" ht="99.75" hidden="false" customHeight="true" outlineLevel="0" collapsed="false">
      <c r="A37" s="9" t="s">
        <v>381</v>
      </c>
      <c r="B37" s="10" t="n">
        <v>46087</v>
      </c>
      <c r="C37" s="11" t="s">
        <v>371</v>
      </c>
      <c r="D37" s="11" t="s">
        <v>382</v>
      </c>
      <c r="E37" s="11" t="s">
        <v>383</v>
      </c>
      <c r="F37" s="11" t="s">
        <v>384</v>
      </c>
      <c r="G37" s="11" t="s">
        <v>156</v>
      </c>
      <c r="H37" s="12" t="n">
        <v>3</v>
      </c>
      <c r="I37" s="12" t="n">
        <v>5</v>
      </c>
      <c r="J37" s="13" t="n">
        <f aca="false">IF(OR(H37="",I37=""),"",H37*I37)</f>
        <v>15</v>
      </c>
      <c r="K37" s="14" t="str">
        <f aca="false">IF(J37="","",IF(J37&gt;=Scoring!$B$24,"Critical",IF(J37&gt;=Scoring!$B$23,"High",IF(J37&gt;=Scoring!$B$22,"Medium","Low"))))</f>
        <v>Critical</v>
      </c>
      <c r="L37" s="11" t="s">
        <v>385</v>
      </c>
      <c r="M37" s="11" t="s">
        <v>386</v>
      </c>
      <c r="N37" s="9" t="s">
        <v>83</v>
      </c>
      <c r="O37" s="12" t="n">
        <v>3</v>
      </c>
      <c r="P37" s="12" t="n">
        <v>4</v>
      </c>
      <c r="Q37" s="13" t="n">
        <f aca="false">IF(OR(O37="",P37=""),"",O37*P37)</f>
        <v>12</v>
      </c>
      <c r="R37" s="14" t="str">
        <f aca="false">IF(Q37="","",IF(Q37&gt;=Scoring!$B$24,"Critical",IF(Q37&gt;=Scoring!$B$23,"High",IF(Q37&gt;=Scoring!$B$22,"Medium","Low"))))</f>
        <v>High</v>
      </c>
      <c r="S37" s="14" t="str">
        <f aca="false">IF(Q37="","",IF(Q37&lt;=Scoring!$B$27,"Yes","No"))</f>
        <v>No</v>
      </c>
      <c r="T37" s="9" t="s">
        <v>84</v>
      </c>
      <c r="U37" s="11" t="s">
        <v>387</v>
      </c>
      <c r="V37" s="11" t="s">
        <v>388</v>
      </c>
      <c r="W37" s="10" t="n">
        <v>46568</v>
      </c>
      <c r="X37" s="9" t="s">
        <v>87</v>
      </c>
      <c r="Y37" s="11" t="s">
        <v>389</v>
      </c>
      <c r="Z37" s="10" t="n">
        <v>46260</v>
      </c>
      <c r="AA37" s="15" t="n">
        <f aca="false">IF(OR(Z37="",R37=""),"",Z37+INDEX(Scoring!$E$21:$E$24,MATCH(R37,Scoring!$A$21:$A$24,0)))</f>
        <v>46350</v>
      </c>
      <c r="AB37" s="16" t="n">
        <f aca="false">IF(Q37="","",Q37+(1000-ROW())/100000)</f>
        <v>12.00963</v>
      </c>
    </row>
    <row r="38" customFormat="false" ht="99.75" hidden="false" customHeight="true" outlineLevel="0" collapsed="false">
      <c r="A38" s="9" t="s">
        <v>390</v>
      </c>
      <c r="B38" s="10" t="n">
        <v>46092</v>
      </c>
      <c r="C38" s="11" t="s">
        <v>371</v>
      </c>
      <c r="D38" s="11" t="s">
        <v>391</v>
      </c>
      <c r="E38" s="11" t="s">
        <v>392</v>
      </c>
      <c r="F38" s="11" t="s">
        <v>393</v>
      </c>
      <c r="G38" s="11" t="s">
        <v>217</v>
      </c>
      <c r="H38" s="12" t="n">
        <v>4</v>
      </c>
      <c r="I38" s="12" t="n">
        <v>4</v>
      </c>
      <c r="J38" s="13" t="n">
        <f aca="false">IF(OR(H38="",I38=""),"",H38*I38)</f>
        <v>16</v>
      </c>
      <c r="K38" s="14" t="str">
        <f aca="false">IF(J38="","",IF(J38&gt;=Scoring!$B$24,"Critical",IF(J38&gt;=Scoring!$B$23,"High",IF(J38&gt;=Scoring!$B$22,"Medium","Low"))))</f>
        <v>Critical</v>
      </c>
      <c r="L38" s="11" t="s">
        <v>394</v>
      </c>
      <c r="M38" s="11" t="s">
        <v>395</v>
      </c>
      <c r="N38" s="9" t="s">
        <v>117</v>
      </c>
      <c r="O38" s="12" t="n">
        <v>3</v>
      </c>
      <c r="P38" s="12" t="n">
        <v>4</v>
      </c>
      <c r="Q38" s="13" t="n">
        <f aca="false">IF(OR(O38="",P38=""),"",O38*P38)</f>
        <v>12</v>
      </c>
      <c r="R38" s="14" t="str">
        <f aca="false">IF(Q38="","",IF(Q38&gt;=Scoring!$B$24,"Critical",IF(Q38&gt;=Scoring!$B$23,"High",IF(Q38&gt;=Scoring!$B$22,"Medium","Low"))))</f>
        <v>High</v>
      </c>
      <c r="S38" s="14" t="str">
        <f aca="false">IF(Q38="","",IF(Q38&lt;=Scoring!$B$27,"Yes","No"))</f>
        <v>No</v>
      </c>
      <c r="T38" s="9" t="s">
        <v>179</v>
      </c>
      <c r="U38" s="11" t="s">
        <v>396</v>
      </c>
      <c r="V38" s="11" t="s">
        <v>379</v>
      </c>
      <c r="W38" s="10" t="n">
        <v>46477</v>
      </c>
      <c r="X38" s="9" t="s">
        <v>87</v>
      </c>
      <c r="Y38" s="11" t="s">
        <v>397</v>
      </c>
      <c r="Z38" s="10" t="n">
        <v>46267</v>
      </c>
      <c r="AA38" s="15" t="n">
        <f aca="false">IF(OR(Z38="",R38=""),"",Z38+INDEX(Scoring!$E$21:$E$24,MATCH(R38,Scoring!$A$21:$A$24,0)))</f>
        <v>46357</v>
      </c>
      <c r="AB38" s="16" t="n">
        <f aca="false">IF(Q38="","",Q38+(1000-ROW())/100000)</f>
        <v>12.00962</v>
      </c>
    </row>
    <row r="39" customFormat="false" ht="99.75" hidden="false" customHeight="true" outlineLevel="0" collapsed="false">
      <c r="A39" s="9" t="s">
        <v>398</v>
      </c>
      <c r="B39" s="10" t="n">
        <v>46097</v>
      </c>
      <c r="C39" s="11" t="s">
        <v>371</v>
      </c>
      <c r="D39" s="11" t="s">
        <v>399</v>
      </c>
      <c r="E39" s="11" t="s">
        <v>400</v>
      </c>
      <c r="F39" s="11" t="s">
        <v>401</v>
      </c>
      <c r="G39" s="11" t="s">
        <v>388</v>
      </c>
      <c r="H39" s="12" t="n">
        <v>4</v>
      </c>
      <c r="I39" s="12" t="n">
        <v>4</v>
      </c>
      <c r="J39" s="13" t="n">
        <f aca="false">IF(OR(H39="",I39=""),"",H39*I39)</f>
        <v>16</v>
      </c>
      <c r="K39" s="14" t="str">
        <f aca="false">IF(J39="","",IF(J39&gt;=Scoring!$B$24,"Critical",IF(J39&gt;=Scoring!$B$23,"High",IF(J39&gt;=Scoring!$B$22,"Medium","Low"))))</f>
        <v>Critical</v>
      </c>
      <c r="L39" s="11" t="s">
        <v>402</v>
      </c>
      <c r="M39" s="11" t="s">
        <v>403</v>
      </c>
      <c r="N39" s="9" t="s">
        <v>83</v>
      </c>
      <c r="O39" s="12" t="n">
        <v>3</v>
      </c>
      <c r="P39" s="12" t="n">
        <v>3</v>
      </c>
      <c r="Q39" s="13" t="n">
        <f aca="false">IF(OR(O39="",P39=""),"",O39*P39)</f>
        <v>9</v>
      </c>
      <c r="R39" s="14" t="str">
        <f aca="false">IF(Q39="","",IF(Q39&gt;=Scoring!$B$24,"Critical",IF(Q39&gt;=Scoring!$B$23,"High",IF(Q39&gt;=Scoring!$B$22,"Medium","Low"))))</f>
        <v>Medium</v>
      </c>
      <c r="S39" s="14" t="str">
        <f aca="false">IF(Q39="","",IF(Q39&lt;=Scoring!$B$27,"Yes","No"))</f>
        <v>Yes</v>
      </c>
      <c r="T39" s="9" t="s">
        <v>84</v>
      </c>
      <c r="U39" s="11" t="s">
        <v>404</v>
      </c>
      <c r="V39" s="11" t="s">
        <v>405</v>
      </c>
      <c r="W39" s="10" t="n">
        <v>46538</v>
      </c>
      <c r="X39" s="9" t="s">
        <v>87</v>
      </c>
      <c r="Y39" s="11" t="s">
        <v>406</v>
      </c>
      <c r="Z39" s="10" t="n">
        <v>46274</v>
      </c>
      <c r="AA39" s="15" t="n">
        <f aca="false">IF(OR(Z39="",R39=""),"",Z39+INDEX(Scoring!$E$21:$E$24,MATCH(R39,Scoring!$A$21:$A$24,0)))</f>
        <v>46454</v>
      </c>
      <c r="AB39" s="16" t="n">
        <f aca="false">IF(Q39="","",Q39+(1000-ROW())/100000)</f>
        <v>9.00961</v>
      </c>
    </row>
    <row r="40" customFormat="false" ht="99.75" hidden="false" customHeight="true" outlineLevel="0" collapsed="false">
      <c r="A40" s="9" t="s">
        <v>407</v>
      </c>
      <c r="B40" s="10" t="n">
        <v>46102</v>
      </c>
      <c r="C40" s="11" t="s">
        <v>371</v>
      </c>
      <c r="D40" s="11" t="s">
        <v>408</v>
      </c>
      <c r="E40" s="11" t="s">
        <v>409</v>
      </c>
      <c r="F40" s="11" t="s">
        <v>410</v>
      </c>
      <c r="G40" s="11" t="s">
        <v>217</v>
      </c>
      <c r="H40" s="12" t="n">
        <v>3</v>
      </c>
      <c r="I40" s="12" t="n">
        <v>3</v>
      </c>
      <c r="J40" s="13" t="n">
        <f aca="false">IF(OR(H40="",I40=""),"",H40*I40)</f>
        <v>9</v>
      </c>
      <c r="K40" s="14" t="str">
        <f aca="false">IF(J40="","",IF(J40&gt;=Scoring!$B$24,"Critical",IF(J40&gt;=Scoring!$B$23,"High",IF(J40&gt;=Scoring!$B$22,"Medium","Low"))))</f>
        <v>Medium</v>
      </c>
      <c r="L40" s="11" t="s">
        <v>411</v>
      </c>
      <c r="M40" s="11" t="s">
        <v>412</v>
      </c>
      <c r="N40" s="9" t="s">
        <v>83</v>
      </c>
      <c r="O40" s="12" t="n">
        <v>2</v>
      </c>
      <c r="P40" s="12" t="n">
        <v>3</v>
      </c>
      <c r="Q40" s="13" t="n">
        <f aca="false">IF(OR(O40="",P40=""),"",O40*P40)</f>
        <v>6</v>
      </c>
      <c r="R40" s="14" t="str">
        <f aca="false">IF(Q40="","",IF(Q40&gt;=Scoring!$B$24,"Critical",IF(Q40&gt;=Scoring!$B$23,"High",IF(Q40&gt;=Scoring!$B$22,"Medium","Low"))))</f>
        <v>Medium</v>
      </c>
      <c r="S40" s="14" t="str">
        <f aca="false">IF(Q40="","",IF(Q40&lt;=Scoring!$B$27,"Yes","No"))</f>
        <v>Yes</v>
      </c>
      <c r="T40" s="9" t="s">
        <v>84</v>
      </c>
      <c r="U40" s="11" t="s">
        <v>413</v>
      </c>
      <c r="V40" s="11" t="s">
        <v>414</v>
      </c>
      <c r="W40" s="10" t="n">
        <v>46357</v>
      </c>
      <c r="X40" s="9" t="s">
        <v>99</v>
      </c>
      <c r="Y40" s="11" t="s">
        <v>415</v>
      </c>
      <c r="Z40" s="10" t="n">
        <v>46281</v>
      </c>
      <c r="AA40" s="15" t="n">
        <f aca="false">IF(OR(Z40="",R40=""),"",Z40+INDEX(Scoring!$E$21:$E$24,MATCH(R40,Scoring!$A$21:$A$24,0)))</f>
        <v>46461</v>
      </c>
      <c r="AB40" s="16" t="n">
        <f aca="false">IF(Q40="","",Q40+(1000-ROW())/100000)</f>
        <v>6.0096</v>
      </c>
    </row>
    <row r="41" customFormat="false" ht="99.75" hidden="false" customHeight="true" outlineLevel="0" collapsed="false">
      <c r="A41" s="9" t="s">
        <v>416</v>
      </c>
      <c r="B41" s="10" t="n">
        <v>46107</v>
      </c>
      <c r="C41" s="11" t="s">
        <v>371</v>
      </c>
      <c r="D41" s="11" t="s">
        <v>417</v>
      </c>
      <c r="E41" s="11" t="s">
        <v>418</v>
      </c>
      <c r="F41" s="11" t="s">
        <v>419</v>
      </c>
      <c r="G41" s="11" t="s">
        <v>388</v>
      </c>
      <c r="H41" s="12" t="n">
        <v>3</v>
      </c>
      <c r="I41" s="12" t="n">
        <v>3</v>
      </c>
      <c r="J41" s="13" t="n">
        <f aca="false">IF(OR(H41="",I41=""),"",H41*I41)</f>
        <v>9</v>
      </c>
      <c r="K41" s="14" t="str">
        <f aca="false">IF(J41="","",IF(J41&gt;=Scoring!$B$24,"Critical",IF(J41&gt;=Scoring!$B$23,"High",IF(J41&gt;=Scoring!$B$22,"Medium","Low"))))</f>
        <v>Medium</v>
      </c>
      <c r="L41" s="11" t="s">
        <v>420</v>
      </c>
      <c r="M41" s="11" t="s">
        <v>421</v>
      </c>
      <c r="N41" s="9" t="s">
        <v>117</v>
      </c>
      <c r="O41" s="12" t="n">
        <v>3</v>
      </c>
      <c r="P41" s="12" t="n">
        <v>2</v>
      </c>
      <c r="Q41" s="13" t="n">
        <f aca="false">IF(OR(O41="",P41=""),"",O41*P41)</f>
        <v>6</v>
      </c>
      <c r="R41" s="14" t="str">
        <f aca="false">IF(Q41="","",IF(Q41&gt;=Scoring!$B$24,"Critical",IF(Q41&gt;=Scoring!$B$23,"High",IF(Q41&gt;=Scoring!$B$22,"Medium","Low"))))</f>
        <v>Medium</v>
      </c>
      <c r="S41" s="14" t="str">
        <f aca="false">IF(Q41="","",IF(Q41&lt;=Scoring!$B$27,"Yes","No"))</f>
        <v>Yes</v>
      </c>
      <c r="T41" s="9" t="s">
        <v>84</v>
      </c>
      <c r="U41" s="11" t="s">
        <v>422</v>
      </c>
      <c r="V41" s="11" t="s">
        <v>423</v>
      </c>
      <c r="W41" s="10" t="n">
        <v>46356</v>
      </c>
      <c r="X41" s="9" t="s">
        <v>87</v>
      </c>
      <c r="Y41" s="11" t="s">
        <v>424</v>
      </c>
      <c r="Z41" s="10" t="n">
        <v>46288</v>
      </c>
      <c r="AA41" s="15" t="n">
        <f aca="false">IF(OR(Z41="",R41=""),"",Z41+INDEX(Scoring!$E$21:$E$24,MATCH(R41,Scoring!$A$21:$A$24,0)))</f>
        <v>46468</v>
      </c>
      <c r="AB41" s="16" t="n">
        <f aca="false">IF(Q41="","",Q41+(1000-ROW())/100000)</f>
        <v>6.00959</v>
      </c>
    </row>
    <row r="42" customFormat="false" ht="99.75" hidden="false" customHeight="true" outlineLevel="0" collapsed="false">
      <c r="A42" s="9" t="s">
        <v>425</v>
      </c>
      <c r="B42" s="10" t="n">
        <v>46112</v>
      </c>
      <c r="C42" s="11" t="s">
        <v>371</v>
      </c>
      <c r="D42" s="11" t="s">
        <v>426</v>
      </c>
      <c r="E42" s="11" t="s">
        <v>427</v>
      </c>
      <c r="F42" s="11" t="s">
        <v>428</v>
      </c>
      <c r="G42" s="11" t="s">
        <v>375</v>
      </c>
      <c r="H42" s="12" t="n">
        <v>3</v>
      </c>
      <c r="I42" s="12" t="n">
        <v>3</v>
      </c>
      <c r="J42" s="13" t="n">
        <f aca="false">IF(OR(H42="",I42=""),"",H42*I42)</f>
        <v>9</v>
      </c>
      <c r="K42" s="14" t="str">
        <f aca="false">IF(J42="","",IF(J42&gt;=Scoring!$B$24,"Critical",IF(J42&gt;=Scoring!$B$23,"High",IF(J42&gt;=Scoring!$B$22,"Medium","Low"))))</f>
        <v>Medium</v>
      </c>
      <c r="L42" s="11" t="s">
        <v>429</v>
      </c>
      <c r="M42" s="11" t="s">
        <v>430</v>
      </c>
      <c r="N42" s="9" t="s">
        <v>83</v>
      </c>
      <c r="O42" s="12" t="n">
        <v>2</v>
      </c>
      <c r="P42" s="12" t="n">
        <v>3</v>
      </c>
      <c r="Q42" s="13" t="n">
        <f aca="false">IF(OR(O42="",P42=""),"",O42*P42)</f>
        <v>6</v>
      </c>
      <c r="R42" s="14" t="str">
        <f aca="false">IF(Q42="","",IF(Q42&gt;=Scoring!$B$24,"Critical",IF(Q42&gt;=Scoring!$B$23,"High",IF(Q42&gt;=Scoring!$B$22,"Medium","Low"))))</f>
        <v>Medium</v>
      </c>
      <c r="S42" s="14" t="str">
        <f aca="false">IF(Q42="","",IF(Q42&lt;=Scoring!$B$27,"Yes","No"))</f>
        <v>Yes</v>
      </c>
      <c r="T42" s="9" t="s">
        <v>84</v>
      </c>
      <c r="U42" s="11" t="s">
        <v>431</v>
      </c>
      <c r="V42" s="11" t="s">
        <v>414</v>
      </c>
      <c r="W42" s="10" t="n">
        <v>46507</v>
      </c>
      <c r="X42" s="9" t="s">
        <v>99</v>
      </c>
      <c r="Y42" s="11" t="s">
        <v>432</v>
      </c>
      <c r="Z42" s="10" t="n">
        <v>46295</v>
      </c>
      <c r="AA42" s="15" t="n">
        <f aca="false">IF(OR(Z42="",R42=""),"",Z42+INDEX(Scoring!$E$21:$E$24,MATCH(R42,Scoring!$A$21:$A$24,0)))</f>
        <v>46475</v>
      </c>
      <c r="AB42" s="16" t="n">
        <f aca="false">IF(Q42="","",Q42+(1000-ROW())/100000)</f>
        <v>6.00958</v>
      </c>
    </row>
    <row r="43" customFormat="false" ht="99.75" hidden="false" customHeight="true" outlineLevel="0" collapsed="false">
      <c r="A43" s="9" t="s">
        <v>433</v>
      </c>
      <c r="B43" s="10" t="n">
        <v>46117</v>
      </c>
      <c r="C43" s="11" t="s">
        <v>371</v>
      </c>
      <c r="D43" s="11" t="s">
        <v>434</v>
      </c>
      <c r="E43" s="11" t="s">
        <v>435</v>
      </c>
      <c r="F43" s="11" t="s">
        <v>436</v>
      </c>
      <c r="G43" s="11" t="s">
        <v>388</v>
      </c>
      <c r="H43" s="12" t="n">
        <v>2</v>
      </c>
      <c r="I43" s="12" t="n">
        <v>4</v>
      </c>
      <c r="J43" s="13" t="n">
        <f aca="false">IF(OR(H43="",I43=""),"",H43*I43)</f>
        <v>8</v>
      </c>
      <c r="K43" s="14" t="str">
        <f aca="false">IF(J43="","",IF(J43&gt;=Scoring!$B$24,"Critical",IF(J43&gt;=Scoring!$B$23,"High",IF(J43&gt;=Scoring!$B$22,"Medium","Low"))))</f>
        <v>Medium</v>
      </c>
      <c r="L43" s="11" t="s">
        <v>437</v>
      </c>
      <c r="M43" s="11" t="s">
        <v>438</v>
      </c>
      <c r="N43" s="9" t="s">
        <v>296</v>
      </c>
      <c r="O43" s="12" t="n">
        <v>1</v>
      </c>
      <c r="P43" s="12" t="n">
        <v>4</v>
      </c>
      <c r="Q43" s="13" t="n">
        <f aca="false">IF(OR(O43="",P43=""),"",O43*P43)</f>
        <v>4</v>
      </c>
      <c r="R43" s="14" t="str">
        <f aca="false">IF(Q43="","",IF(Q43&gt;=Scoring!$B$24,"Critical",IF(Q43&gt;=Scoring!$B$23,"High",IF(Q43&gt;=Scoring!$B$22,"Medium","Low"))))</f>
        <v>Low</v>
      </c>
      <c r="S43" s="14" t="str">
        <f aca="false">IF(Q43="","",IF(Q43&lt;=Scoring!$B$27,"Yes","No"))</f>
        <v>Yes</v>
      </c>
      <c r="T43" s="9" t="s">
        <v>297</v>
      </c>
      <c r="U43" s="11" t="s">
        <v>439</v>
      </c>
      <c r="V43" s="11" t="s">
        <v>414</v>
      </c>
      <c r="W43" s="10"/>
      <c r="X43" s="9" t="s">
        <v>279</v>
      </c>
      <c r="Y43" s="11" t="s">
        <v>440</v>
      </c>
      <c r="Z43" s="10" t="n">
        <v>46302</v>
      </c>
      <c r="AA43" s="15" t="n">
        <f aca="false">IF(OR(Z43="",R43=""),"",Z43+INDEX(Scoring!$E$21:$E$24,MATCH(R43,Scoring!$A$21:$A$24,0)))</f>
        <v>46667</v>
      </c>
      <c r="AB43" s="16" t="n">
        <f aca="false">IF(Q43="","",Q43+(1000-ROW())/100000)</f>
        <v>4.00957</v>
      </c>
    </row>
    <row r="44" customFormat="false" ht="99.75" hidden="false" customHeight="true" outlineLevel="0" collapsed="false">
      <c r="A44" s="9" t="s">
        <v>441</v>
      </c>
      <c r="B44" s="10" t="n">
        <v>46122</v>
      </c>
      <c r="C44" s="11" t="s">
        <v>442</v>
      </c>
      <c r="D44" s="11" t="s">
        <v>443</v>
      </c>
      <c r="E44" s="11" t="s">
        <v>444</v>
      </c>
      <c r="F44" s="11" t="s">
        <v>445</v>
      </c>
      <c r="G44" s="11" t="s">
        <v>446</v>
      </c>
      <c r="H44" s="12" t="n">
        <v>3</v>
      </c>
      <c r="I44" s="12" t="n">
        <v>5</v>
      </c>
      <c r="J44" s="13" t="n">
        <f aca="false">IF(OR(H44="",I44=""),"",H44*I44)</f>
        <v>15</v>
      </c>
      <c r="K44" s="14" t="str">
        <f aca="false">IF(J44="","",IF(J44&gt;=Scoring!$B$24,"Critical",IF(J44&gt;=Scoring!$B$23,"High",IF(J44&gt;=Scoring!$B$22,"Medium","Low"))))</f>
        <v>Critical</v>
      </c>
      <c r="L44" s="11" t="s">
        <v>447</v>
      </c>
      <c r="M44" s="11" t="s">
        <v>448</v>
      </c>
      <c r="N44" s="9" t="s">
        <v>83</v>
      </c>
      <c r="O44" s="12" t="n">
        <v>2</v>
      </c>
      <c r="P44" s="12" t="n">
        <v>4</v>
      </c>
      <c r="Q44" s="13" t="n">
        <f aca="false">IF(OR(O44="",P44=""),"",O44*P44)</f>
        <v>8</v>
      </c>
      <c r="R44" s="14" t="str">
        <f aca="false">IF(Q44="","",IF(Q44&gt;=Scoring!$B$24,"Critical",IF(Q44&gt;=Scoring!$B$23,"High",IF(Q44&gt;=Scoring!$B$22,"Medium","Low"))))</f>
        <v>Medium</v>
      </c>
      <c r="S44" s="14" t="str">
        <f aca="false">IF(Q44="","",IF(Q44&lt;=Scoring!$B$27,"Yes","No"))</f>
        <v>Yes</v>
      </c>
      <c r="T44" s="9" t="s">
        <v>84</v>
      </c>
      <c r="U44" s="11" t="s">
        <v>449</v>
      </c>
      <c r="V44" s="11" t="s">
        <v>450</v>
      </c>
      <c r="W44" s="10" t="n">
        <v>46477</v>
      </c>
      <c r="X44" s="9" t="s">
        <v>87</v>
      </c>
      <c r="Y44" s="11" t="s">
        <v>451</v>
      </c>
      <c r="Z44" s="10" t="n">
        <v>46254</v>
      </c>
      <c r="AA44" s="15" t="n">
        <f aca="false">IF(OR(Z44="",R44=""),"",Z44+INDEX(Scoring!$E$21:$E$24,MATCH(R44,Scoring!$A$21:$A$24,0)))</f>
        <v>46434</v>
      </c>
      <c r="AB44" s="16" t="n">
        <f aca="false">IF(Q44="","",Q44+(1000-ROW())/100000)</f>
        <v>8.00956</v>
      </c>
    </row>
    <row r="45" customFormat="false" ht="99.75" hidden="false" customHeight="true" outlineLevel="0" collapsed="false">
      <c r="A45" s="9" t="s">
        <v>452</v>
      </c>
      <c r="B45" s="10" t="n">
        <v>46127</v>
      </c>
      <c r="C45" s="11" t="s">
        <v>442</v>
      </c>
      <c r="D45" s="11" t="s">
        <v>453</v>
      </c>
      <c r="E45" s="11" t="s">
        <v>454</v>
      </c>
      <c r="F45" s="11" t="s">
        <v>455</v>
      </c>
      <c r="G45" s="11" t="s">
        <v>217</v>
      </c>
      <c r="H45" s="12" t="n">
        <v>3</v>
      </c>
      <c r="I45" s="12" t="n">
        <v>3</v>
      </c>
      <c r="J45" s="13" t="n">
        <f aca="false">IF(OR(H45="",I45=""),"",H45*I45)</f>
        <v>9</v>
      </c>
      <c r="K45" s="14" t="str">
        <f aca="false">IF(J45="","",IF(J45&gt;=Scoring!$B$24,"Critical",IF(J45&gt;=Scoring!$B$23,"High",IF(J45&gt;=Scoring!$B$22,"Medium","Low"))))</f>
        <v>Medium</v>
      </c>
      <c r="L45" s="11" t="s">
        <v>456</v>
      </c>
      <c r="M45" s="11" t="s">
        <v>457</v>
      </c>
      <c r="N45" s="9" t="s">
        <v>296</v>
      </c>
      <c r="O45" s="12" t="n">
        <v>1</v>
      </c>
      <c r="P45" s="12" t="n">
        <v>2</v>
      </c>
      <c r="Q45" s="13" t="n">
        <f aca="false">IF(OR(O45="",P45=""),"",O45*P45)</f>
        <v>2</v>
      </c>
      <c r="R45" s="14" t="str">
        <f aca="false">IF(Q45="","",IF(Q45&gt;=Scoring!$B$24,"Critical",IF(Q45&gt;=Scoring!$B$23,"High",IF(Q45&gt;=Scoring!$B$22,"Medium","Low"))))</f>
        <v>Low</v>
      </c>
      <c r="S45" s="14" t="str">
        <f aca="false">IF(Q45="","",IF(Q45&lt;=Scoring!$B$27,"Yes","No"))</f>
        <v>Yes</v>
      </c>
      <c r="T45" s="9" t="s">
        <v>84</v>
      </c>
      <c r="U45" s="11" t="s">
        <v>458</v>
      </c>
      <c r="V45" s="11" t="s">
        <v>459</v>
      </c>
      <c r="W45" s="10" t="n">
        <v>46265</v>
      </c>
      <c r="X45" s="9" t="s">
        <v>460</v>
      </c>
      <c r="Y45" s="11" t="s">
        <v>461</v>
      </c>
      <c r="Z45" s="10" t="n">
        <v>46261</v>
      </c>
      <c r="AA45" s="15" t="n">
        <f aca="false">IF(OR(Z45="",R45=""),"",Z45+INDEX(Scoring!$E$21:$E$24,MATCH(R45,Scoring!$A$21:$A$24,0)))</f>
        <v>46626</v>
      </c>
      <c r="AB45" s="16" t="n">
        <f aca="false">IF(Q45="","",Q45+(1000-ROW())/100000)</f>
        <v>2.00955</v>
      </c>
    </row>
    <row r="46" customFormat="false" ht="99.75" hidden="false" customHeight="true" outlineLevel="0" collapsed="false">
      <c r="A46" s="9" t="s">
        <v>462</v>
      </c>
      <c r="B46" s="10" t="n">
        <v>46132</v>
      </c>
      <c r="C46" s="11" t="s">
        <v>442</v>
      </c>
      <c r="D46" s="11" t="s">
        <v>463</v>
      </c>
      <c r="E46" s="11" t="s">
        <v>464</v>
      </c>
      <c r="F46" s="11" t="s">
        <v>465</v>
      </c>
      <c r="G46" s="11" t="s">
        <v>156</v>
      </c>
      <c r="H46" s="12" t="n">
        <v>3</v>
      </c>
      <c r="I46" s="12" t="n">
        <v>4</v>
      </c>
      <c r="J46" s="13" t="n">
        <f aca="false">IF(OR(H46="",I46=""),"",H46*I46)</f>
        <v>12</v>
      </c>
      <c r="K46" s="14" t="str">
        <f aca="false">IF(J46="","",IF(J46&gt;=Scoring!$B$24,"Critical",IF(J46&gt;=Scoring!$B$23,"High",IF(J46&gt;=Scoring!$B$22,"Medium","Low"))))</f>
        <v>High</v>
      </c>
      <c r="L46" s="11" t="s">
        <v>466</v>
      </c>
      <c r="M46" s="11" t="s">
        <v>467</v>
      </c>
      <c r="N46" s="9" t="s">
        <v>83</v>
      </c>
      <c r="O46" s="12" t="n">
        <v>2</v>
      </c>
      <c r="P46" s="12" t="n">
        <v>3</v>
      </c>
      <c r="Q46" s="13" t="n">
        <f aca="false">IF(OR(O46="",P46=""),"",O46*P46)</f>
        <v>6</v>
      </c>
      <c r="R46" s="14" t="str">
        <f aca="false">IF(Q46="","",IF(Q46&gt;=Scoring!$B$24,"Critical",IF(Q46&gt;=Scoring!$B$23,"High",IF(Q46&gt;=Scoring!$B$22,"Medium","Low"))))</f>
        <v>Medium</v>
      </c>
      <c r="S46" s="14" t="str">
        <f aca="false">IF(Q46="","",IF(Q46&lt;=Scoring!$B$27,"Yes","No"))</f>
        <v>Yes</v>
      </c>
      <c r="T46" s="9" t="s">
        <v>84</v>
      </c>
      <c r="U46" s="11" t="s">
        <v>468</v>
      </c>
      <c r="V46" s="11" t="s">
        <v>469</v>
      </c>
      <c r="W46" s="10" t="n">
        <v>46446</v>
      </c>
      <c r="X46" s="9" t="s">
        <v>99</v>
      </c>
      <c r="Y46" s="11" t="s">
        <v>470</v>
      </c>
      <c r="Z46" s="10" t="n">
        <v>46268</v>
      </c>
      <c r="AA46" s="15" t="n">
        <f aca="false">IF(OR(Z46="",R46=""),"",Z46+INDEX(Scoring!$E$21:$E$24,MATCH(R46,Scoring!$A$21:$A$24,0)))</f>
        <v>46448</v>
      </c>
      <c r="AB46" s="16" t="n">
        <f aca="false">IF(Q46="","",Q46+(1000-ROW())/100000)</f>
        <v>6.00954</v>
      </c>
    </row>
    <row r="47" customFormat="false" ht="99.75" hidden="false" customHeight="true" outlineLevel="0" collapsed="false">
      <c r="A47" s="9" t="s">
        <v>471</v>
      </c>
      <c r="B47" s="10" t="n">
        <v>46137</v>
      </c>
      <c r="C47" s="11" t="s">
        <v>442</v>
      </c>
      <c r="D47" s="11" t="s">
        <v>472</v>
      </c>
      <c r="E47" s="11" t="s">
        <v>473</v>
      </c>
      <c r="F47" s="11" t="s">
        <v>474</v>
      </c>
      <c r="G47" s="11" t="s">
        <v>160</v>
      </c>
      <c r="H47" s="12" t="n">
        <v>4</v>
      </c>
      <c r="I47" s="12" t="n">
        <v>3</v>
      </c>
      <c r="J47" s="13" t="n">
        <f aca="false">IF(OR(H47="",I47=""),"",H47*I47)</f>
        <v>12</v>
      </c>
      <c r="K47" s="14" t="str">
        <f aca="false">IF(J47="","",IF(J47&gt;=Scoring!$B$24,"Critical",IF(J47&gt;=Scoring!$B$23,"High",IF(J47&gt;=Scoring!$B$22,"Medium","Low"))))</f>
        <v>High</v>
      </c>
      <c r="L47" s="11" t="s">
        <v>475</v>
      </c>
      <c r="M47" s="11" t="s">
        <v>476</v>
      </c>
      <c r="N47" s="9" t="s">
        <v>117</v>
      </c>
      <c r="O47" s="12" t="n">
        <v>3</v>
      </c>
      <c r="P47" s="12" t="n">
        <v>3</v>
      </c>
      <c r="Q47" s="13" t="n">
        <f aca="false">IF(OR(O47="",P47=""),"",O47*P47)</f>
        <v>9</v>
      </c>
      <c r="R47" s="14" t="str">
        <f aca="false">IF(Q47="","",IF(Q47&gt;=Scoring!$B$24,"Critical",IF(Q47&gt;=Scoring!$B$23,"High",IF(Q47&gt;=Scoring!$B$22,"Medium","Low"))))</f>
        <v>Medium</v>
      </c>
      <c r="S47" s="14" t="str">
        <f aca="false">IF(Q47="","",IF(Q47&lt;=Scoring!$B$27,"Yes","No"))</f>
        <v>Yes</v>
      </c>
      <c r="T47" s="9" t="s">
        <v>84</v>
      </c>
      <c r="U47" s="11" t="s">
        <v>477</v>
      </c>
      <c r="V47" s="11" t="s">
        <v>478</v>
      </c>
      <c r="W47" s="10" t="n">
        <v>46568</v>
      </c>
      <c r="X47" s="9" t="s">
        <v>99</v>
      </c>
      <c r="Y47" s="11" t="s">
        <v>479</v>
      </c>
      <c r="Z47" s="10" t="n">
        <v>46275</v>
      </c>
      <c r="AA47" s="15" t="n">
        <f aca="false">IF(OR(Z47="",R47=""),"",Z47+INDEX(Scoring!$E$21:$E$24,MATCH(R47,Scoring!$A$21:$A$24,0)))</f>
        <v>46455</v>
      </c>
      <c r="AB47" s="16" t="n">
        <f aca="false">IF(Q47="","",Q47+(1000-ROW())/100000)</f>
        <v>9.00953</v>
      </c>
    </row>
    <row r="48" customFormat="false" ht="99.75" hidden="false" customHeight="true" outlineLevel="0" collapsed="false">
      <c r="A48" s="9" t="s">
        <v>480</v>
      </c>
      <c r="B48" s="10" t="n">
        <v>46142</v>
      </c>
      <c r="C48" s="11" t="s">
        <v>442</v>
      </c>
      <c r="D48" s="11" t="s">
        <v>481</v>
      </c>
      <c r="E48" s="11" t="s">
        <v>482</v>
      </c>
      <c r="F48" s="11" t="s">
        <v>483</v>
      </c>
      <c r="G48" s="11" t="s">
        <v>176</v>
      </c>
      <c r="H48" s="12" t="n">
        <v>3</v>
      </c>
      <c r="I48" s="12" t="n">
        <v>4</v>
      </c>
      <c r="J48" s="13" t="n">
        <f aca="false">IF(OR(H48="",I48=""),"",H48*I48)</f>
        <v>12</v>
      </c>
      <c r="K48" s="14" t="str">
        <f aca="false">IF(J48="","",IF(J48&gt;=Scoring!$B$24,"Critical",IF(J48&gt;=Scoring!$B$23,"High",IF(J48&gt;=Scoring!$B$22,"Medium","Low"))))</f>
        <v>High</v>
      </c>
      <c r="L48" s="11" t="s">
        <v>484</v>
      </c>
      <c r="M48" s="11" t="s">
        <v>485</v>
      </c>
      <c r="N48" s="9" t="s">
        <v>83</v>
      </c>
      <c r="O48" s="12" t="n">
        <v>2</v>
      </c>
      <c r="P48" s="12" t="n">
        <v>3</v>
      </c>
      <c r="Q48" s="13" t="n">
        <f aca="false">IF(OR(O48="",P48=""),"",O48*P48)</f>
        <v>6</v>
      </c>
      <c r="R48" s="14" t="str">
        <f aca="false">IF(Q48="","",IF(Q48&gt;=Scoring!$B$24,"Critical",IF(Q48&gt;=Scoring!$B$23,"High",IF(Q48&gt;=Scoring!$B$22,"Medium","Low"))))</f>
        <v>Medium</v>
      </c>
      <c r="S48" s="14" t="str">
        <f aca="false">IF(Q48="","",IF(Q48&lt;=Scoring!$B$27,"Yes","No"))</f>
        <v>Yes</v>
      </c>
      <c r="T48" s="9" t="s">
        <v>84</v>
      </c>
      <c r="U48" s="11" t="s">
        <v>486</v>
      </c>
      <c r="V48" s="11" t="s">
        <v>487</v>
      </c>
      <c r="W48" s="10" t="n">
        <v>46418</v>
      </c>
      <c r="X48" s="9" t="s">
        <v>87</v>
      </c>
      <c r="Y48" s="11" t="s">
        <v>488</v>
      </c>
      <c r="Z48" s="10" t="n">
        <v>46282</v>
      </c>
      <c r="AA48" s="15" t="n">
        <f aca="false">IF(OR(Z48="",R48=""),"",Z48+INDEX(Scoring!$E$21:$E$24,MATCH(R48,Scoring!$A$21:$A$24,0)))</f>
        <v>46462</v>
      </c>
      <c r="AB48" s="16" t="n">
        <f aca="false">IF(Q48="","",Q48+(1000-ROW())/100000)</f>
        <v>6.00952</v>
      </c>
    </row>
    <row r="49" customFormat="false" ht="99.75" hidden="false" customHeight="true" outlineLevel="0" collapsed="false">
      <c r="A49" s="9" t="s">
        <v>489</v>
      </c>
      <c r="B49" s="10" t="n">
        <v>46147</v>
      </c>
      <c r="C49" s="11" t="s">
        <v>442</v>
      </c>
      <c r="D49" s="11" t="s">
        <v>490</v>
      </c>
      <c r="E49" s="11" t="s">
        <v>491</v>
      </c>
      <c r="F49" s="11" t="s">
        <v>492</v>
      </c>
      <c r="G49" s="11" t="s">
        <v>227</v>
      </c>
      <c r="H49" s="12" t="n">
        <v>3</v>
      </c>
      <c r="I49" s="12" t="n">
        <v>4</v>
      </c>
      <c r="J49" s="13" t="n">
        <f aca="false">IF(OR(H49="",I49=""),"",H49*I49)</f>
        <v>12</v>
      </c>
      <c r="K49" s="14" t="str">
        <f aca="false">IF(J49="","",IF(J49&gt;=Scoring!$B$24,"Critical",IF(J49&gt;=Scoring!$B$23,"High",IF(J49&gt;=Scoring!$B$22,"Medium","Low"))))</f>
        <v>High</v>
      </c>
      <c r="L49" s="11" t="s">
        <v>493</v>
      </c>
      <c r="M49" s="11" t="s">
        <v>494</v>
      </c>
      <c r="N49" s="9" t="s">
        <v>83</v>
      </c>
      <c r="O49" s="12" t="n">
        <v>2</v>
      </c>
      <c r="P49" s="12" t="n">
        <v>3</v>
      </c>
      <c r="Q49" s="13" t="n">
        <f aca="false">IF(OR(O49="",P49=""),"",O49*P49)</f>
        <v>6</v>
      </c>
      <c r="R49" s="14" t="str">
        <f aca="false">IF(Q49="","",IF(Q49&gt;=Scoring!$B$24,"Critical",IF(Q49&gt;=Scoring!$B$23,"High",IF(Q49&gt;=Scoring!$B$22,"Medium","Low"))))</f>
        <v>Medium</v>
      </c>
      <c r="S49" s="14" t="str">
        <f aca="false">IF(Q49="","",IF(Q49&lt;=Scoring!$B$27,"Yes","No"))</f>
        <v>Yes</v>
      </c>
      <c r="T49" s="9" t="s">
        <v>84</v>
      </c>
      <c r="U49" s="11" t="s">
        <v>495</v>
      </c>
      <c r="V49" s="11" t="s">
        <v>496</v>
      </c>
      <c r="W49" s="10" t="n">
        <v>46446</v>
      </c>
      <c r="X49" s="9" t="s">
        <v>99</v>
      </c>
      <c r="Y49" s="11" t="s">
        <v>497</v>
      </c>
      <c r="Z49" s="10" t="n">
        <v>46289</v>
      </c>
      <c r="AA49" s="15" t="n">
        <f aca="false">IF(OR(Z49="",R49=""),"",Z49+INDEX(Scoring!$E$21:$E$24,MATCH(R49,Scoring!$A$21:$A$24,0)))</f>
        <v>46469</v>
      </c>
      <c r="AB49" s="16" t="n">
        <f aca="false">IF(Q49="","",Q49+(1000-ROW())/100000)</f>
        <v>6.00951</v>
      </c>
    </row>
    <row r="50" customFormat="false" ht="99.75" hidden="false" customHeight="true" outlineLevel="0" collapsed="false">
      <c r="A50" s="9" t="s">
        <v>498</v>
      </c>
      <c r="B50" s="10" t="n">
        <v>46152</v>
      </c>
      <c r="C50" s="11" t="s">
        <v>442</v>
      </c>
      <c r="D50" s="11" t="s">
        <v>499</v>
      </c>
      <c r="E50" s="11" t="s">
        <v>500</v>
      </c>
      <c r="F50" s="11" t="s">
        <v>501</v>
      </c>
      <c r="G50" s="11" t="s">
        <v>375</v>
      </c>
      <c r="H50" s="12" t="n">
        <v>3</v>
      </c>
      <c r="I50" s="12" t="n">
        <v>5</v>
      </c>
      <c r="J50" s="13" t="n">
        <f aca="false">IF(OR(H50="",I50=""),"",H50*I50)</f>
        <v>15</v>
      </c>
      <c r="K50" s="14" t="str">
        <f aca="false">IF(J50="","",IF(J50&gt;=Scoring!$B$24,"Critical",IF(J50&gt;=Scoring!$B$23,"High",IF(J50&gt;=Scoring!$B$22,"Medium","Low"))))</f>
        <v>Critical</v>
      </c>
      <c r="L50" s="11" t="s">
        <v>502</v>
      </c>
      <c r="M50" s="11" t="s">
        <v>503</v>
      </c>
      <c r="N50" s="9" t="s">
        <v>117</v>
      </c>
      <c r="O50" s="12" t="n">
        <v>3</v>
      </c>
      <c r="P50" s="12" t="n">
        <v>4</v>
      </c>
      <c r="Q50" s="13" t="n">
        <f aca="false">IF(OR(O50="",P50=""),"",O50*P50)</f>
        <v>12</v>
      </c>
      <c r="R50" s="14" t="str">
        <f aca="false">IF(Q50="","",IF(Q50&gt;=Scoring!$B$24,"Critical",IF(Q50&gt;=Scoring!$B$23,"High",IF(Q50&gt;=Scoring!$B$22,"Medium","Low"))))</f>
        <v>High</v>
      </c>
      <c r="S50" s="14" t="str">
        <f aca="false">IF(Q50="","",IF(Q50&lt;=Scoring!$B$27,"Yes","No"))</f>
        <v>No</v>
      </c>
      <c r="T50" s="9" t="s">
        <v>84</v>
      </c>
      <c r="U50" s="11" t="s">
        <v>504</v>
      </c>
      <c r="V50" s="11" t="s">
        <v>379</v>
      </c>
      <c r="W50" s="10" t="n">
        <v>46387</v>
      </c>
      <c r="X50" s="9" t="s">
        <v>87</v>
      </c>
      <c r="Y50" s="11" t="s">
        <v>505</v>
      </c>
      <c r="Z50" s="10" t="n">
        <v>46296</v>
      </c>
      <c r="AA50" s="15" t="n">
        <f aca="false">IF(OR(Z50="",R50=""),"",Z50+INDEX(Scoring!$E$21:$E$24,MATCH(R50,Scoring!$A$21:$A$24,0)))</f>
        <v>46386</v>
      </c>
      <c r="AB50" s="16" t="n">
        <f aca="false">IF(Q50="","",Q50+(1000-ROW())/100000)</f>
        <v>12.0095</v>
      </c>
    </row>
    <row r="51" customFormat="false" ht="99.75" hidden="false" customHeight="true" outlineLevel="0" collapsed="false">
      <c r="A51" s="9" t="s">
        <v>506</v>
      </c>
      <c r="B51" s="10" t="n">
        <v>46157</v>
      </c>
      <c r="C51" s="11" t="s">
        <v>442</v>
      </c>
      <c r="D51" s="11" t="s">
        <v>507</v>
      </c>
      <c r="E51" s="11" t="s">
        <v>508</v>
      </c>
      <c r="F51" s="11" t="s">
        <v>509</v>
      </c>
      <c r="G51" s="11" t="s">
        <v>160</v>
      </c>
      <c r="H51" s="12" t="n">
        <v>5</v>
      </c>
      <c r="I51" s="12" t="n">
        <v>2</v>
      </c>
      <c r="J51" s="13" t="n">
        <f aca="false">IF(OR(H51="",I51=""),"",H51*I51)</f>
        <v>10</v>
      </c>
      <c r="K51" s="14" t="str">
        <f aca="false">IF(J51="","",IF(J51&gt;=Scoring!$B$24,"Critical",IF(J51&gt;=Scoring!$B$23,"High",IF(J51&gt;=Scoring!$B$22,"Medium","Low"))))</f>
        <v>High</v>
      </c>
      <c r="L51" s="11" t="s">
        <v>510</v>
      </c>
      <c r="M51" s="11" t="s">
        <v>511</v>
      </c>
      <c r="N51" s="9" t="s">
        <v>83</v>
      </c>
      <c r="O51" s="12" t="n">
        <v>4</v>
      </c>
      <c r="P51" s="12" t="n">
        <v>2</v>
      </c>
      <c r="Q51" s="13" t="n">
        <f aca="false">IF(OR(O51="",P51=""),"",O51*P51)</f>
        <v>8</v>
      </c>
      <c r="R51" s="14" t="str">
        <f aca="false">IF(Q51="","",IF(Q51&gt;=Scoring!$B$24,"Critical",IF(Q51&gt;=Scoring!$B$23,"High",IF(Q51&gt;=Scoring!$B$22,"Medium","Low"))))</f>
        <v>Medium</v>
      </c>
      <c r="S51" s="14" t="str">
        <f aca="false">IF(Q51="","",IF(Q51&lt;=Scoring!$B$27,"Yes","No"))</f>
        <v>Yes</v>
      </c>
      <c r="T51" s="9" t="s">
        <v>84</v>
      </c>
      <c r="U51" s="11" t="s">
        <v>512</v>
      </c>
      <c r="V51" s="11" t="s">
        <v>513</v>
      </c>
      <c r="W51" s="10" t="n">
        <v>46371</v>
      </c>
      <c r="X51" s="9" t="s">
        <v>87</v>
      </c>
      <c r="Y51" s="11" t="s">
        <v>514</v>
      </c>
      <c r="Z51" s="10" t="n">
        <v>46303</v>
      </c>
      <c r="AA51" s="15" t="n">
        <f aca="false">IF(OR(Z51="",R51=""),"",Z51+INDEX(Scoring!$E$21:$E$24,MATCH(R51,Scoring!$A$21:$A$24,0)))</f>
        <v>46483</v>
      </c>
      <c r="AB51" s="16" t="n">
        <f aca="false">IF(Q51="","",Q51+(1000-ROW())/100000)</f>
        <v>8.00949</v>
      </c>
    </row>
    <row r="52" customFormat="false" ht="99.75" hidden="false" customHeight="true" outlineLevel="0" collapsed="false">
      <c r="A52" s="9" t="s">
        <v>515</v>
      </c>
      <c r="B52" s="10" t="n">
        <v>46162</v>
      </c>
      <c r="C52" s="11" t="s">
        <v>516</v>
      </c>
      <c r="D52" s="11" t="s">
        <v>517</v>
      </c>
      <c r="E52" s="11" t="s">
        <v>518</v>
      </c>
      <c r="F52" s="11" t="s">
        <v>519</v>
      </c>
      <c r="G52" s="11" t="s">
        <v>520</v>
      </c>
      <c r="H52" s="12" t="n">
        <v>3</v>
      </c>
      <c r="I52" s="12" t="n">
        <v>5</v>
      </c>
      <c r="J52" s="13" t="n">
        <f aca="false">IF(OR(H52="",I52=""),"",H52*I52)</f>
        <v>15</v>
      </c>
      <c r="K52" s="14" t="str">
        <f aca="false">IF(J52="","",IF(J52&gt;=Scoring!$B$24,"Critical",IF(J52&gt;=Scoring!$B$23,"High",IF(J52&gt;=Scoring!$B$22,"Medium","Low"))))</f>
        <v>Critical</v>
      </c>
      <c r="L52" s="11" t="s">
        <v>521</v>
      </c>
      <c r="M52" s="11" t="s">
        <v>522</v>
      </c>
      <c r="N52" s="9" t="s">
        <v>83</v>
      </c>
      <c r="O52" s="12" t="n">
        <v>2</v>
      </c>
      <c r="P52" s="12" t="n">
        <v>4</v>
      </c>
      <c r="Q52" s="13" t="n">
        <f aca="false">IF(OR(O52="",P52=""),"",O52*P52)</f>
        <v>8</v>
      </c>
      <c r="R52" s="14" t="str">
        <f aca="false">IF(Q52="","",IF(Q52&gt;=Scoring!$B$24,"Critical",IF(Q52&gt;=Scoring!$B$23,"High",IF(Q52&gt;=Scoring!$B$22,"Medium","Low"))))</f>
        <v>Medium</v>
      </c>
      <c r="S52" s="14" t="str">
        <f aca="false">IF(Q52="","",IF(Q52&lt;=Scoring!$B$27,"Yes","No"))</f>
        <v>Yes</v>
      </c>
      <c r="T52" s="9" t="s">
        <v>84</v>
      </c>
      <c r="U52" s="11" t="s">
        <v>523</v>
      </c>
      <c r="V52" s="11" t="s">
        <v>524</v>
      </c>
      <c r="W52" s="10" t="n">
        <v>46371</v>
      </c>
      <c r="X52" s="9" t="s">
        <v>87</v>
      </c>
      <c r="Y52" s="11" t="s">
        <v>525</v>
      </c>
      <c r="Z52" s="10" t="n">
        <v>46255</v>
      </c>
      <c r="AA52" s="15" t="n">
        <f aca="false">IF(OR(Z52="",R52=""),"",Z52+INDEX(Scoring!$E$21:$E$24,MATCH(R52,Scoring!$A$21:$A$24,0)))</f>
        <v>46435</v>
      </c>
      <c r="AB52" s="16" t="n">
        <f aca="false">IF(Q52="","",Q52+(1000-ROW())/100000)</f>
        <v>8.00948</v>
      </c>
    </row>
    <row r="53" customFormat="false" ht="99.75" hidden="false" customHeight="true" outlineLevel="0" collapsed="false">
      <c r="A53" s="9" t="s">
        <v>526</v>
      </c>
      <c r="B53" s="10" t="n">
        <v>46167</v>
      </c>
      <c r="C53" s="11" t="s">
        <v>516</v>
      </c>
      <c r="D53" s="11" t="s">
        <v>527</v>
      </c>
      <c r="E53" s="11" t="s">
        <v>528</v>
      </c>
      <c r="F53" s="11" t="s">
        <v>529</v>
      </c>
      <c r="G53" s="11" t="s">
        <v>530</v>
      </c>
      <c r="H53" s="12" t="n">
        <v>3</v>
      </c>
      <c r="I53" s="12" t="n">
        <v>4</v>
      </c>
      <c r="J53" s="13" t="n">
        <f aca="false">IF(OR(H53="",I53=""),"",H53*I53)</f>
        <v>12</v>
      </c>
      <c r="K53" s="14" t="str">
        <f aca="false">IF(J53="","",IF(J53&gt;=Scoring!$B$24,"Critical",IF(J53&gt;=Scoring!$B$23,"High",IF(J53&gt;=Scoring!$B$22,"Medium","Low"))))</f>
        <v>High</v>
      </c>
      <c r="L53" s="11" t="s">
        <v>531</v>
      </c>
      <c r="M53" s="11" t="s">
        <v>532</v>
      </c>
      <c r="N53" s="9" t="s">
        <v>83</v>
      </c>
      <c r="O53" s="12" t="n">
        <v>2</v>
      </c>
      <c r="P53" s="12" t="n">
        <v>3</v>
      </c>
      <c r="Q53" s="13" t="n">
        <f aca="false">IF(OR(O53="",P53=""),"",O53*P53)</f>
        <v>6</v>
      </c>
      <c r="R53" s="14" t="str">
        <f aca="false">IF(Q53="","",IF(Q53&gt;=Scoring!$B$24,"Critical",IF(Q53&gt;=Scoring!$B$23,"High",IF(Q53&gt;=Scoring!$B$22,"Medium","Low"))))</f>
        <v>Medium</v>
      </c>
      <c r="S53" s="14" t="str">
        <f aca="false">IF(Q53="","",IF(Q53&lt;=Scoring!$B$27,"Yes","No"))</f>
        <v>Yes</v>
      </c>
      <c r="T53" s="9" t="s">
        <v>84</v>
      </c>
      <c r="U53" s="11" t="s">
        <v>533</v>
      </c>
      <c r="V53" s="11" t="s">
        <v>534</v>
      </c>
      <c r="W53" s="10" t="n">
        <v>46418</v>
      </c>
      <c r="X53" s="9" t="s">
        <v>87</v>
      </c>
      <c r="Y53" s="11" t="s">
        <v>535</v>
      </c>
      <c r="Z53" s="10" t="n">
        <v>46262</v>
      </c>
      <c r="AA53" s="15" t="n">
        <f aca="false">IF(OR(Z53="",R53=""),"",Z53+INDEX(Scoring!$E$21:$E$24,MATCH(R53,Scoring!$A$21:$A$24,0)))</f>
        <v>46442</v>
      </c>
      <c r="AB53" s="16" t="n">
        <f aca="false">IF(Q53="","",Q53+(1000-ROW())/100000)</f>
        <v>6.00947</v>
      </c>
    </row>
    <row r="54" customFormat="false" ht="99.75" hidden="false" customHeight="true" outlineLevel="0" collapsed="false">
      <c r="A54" s="9" t="s">
        <v>536</v>
      </c>
      <c r="B54" s="10" t="n">
        <v>46172</v>
      </c>
      <c r="C54" s="11" t="s">
        <v>516</v>
      </c>
      <c r="D54" s="11" t="s">
        <v>537</v>
      </c>
      <c r="E54" s="11" t="s">
        <v>538</v>
      </c>
      <c r="F54" s="11" t="s">
        <v>539</v>
      </c>
      <c r="G54" s="11" t="s">
        <v>530</v>
      </c>
      <c r="H54" s="12" t="n">
        <v>4</v>
      </c>
      <c r="I54" s="12" t="n">
        <v>4</v>
      </c>
      <c r="J54" s="13" t="n">
        <f aca="false">IF(OR(H54="",I54=""),"",H54*I54)</f>
        <v>16</v>
      </c>
      <c r="K54" s="14" t="str">
        <f aca="false">IF(J54="","",IF(J54&gt;=Scoring!$B$24,"Critical",IF(J54&gt;=Scoring!$B$23,"High",IF(J54&gt;=Scoring!$B$22,"Medium","Low"))))</f>
        <v>Critical</v>
      </c>
      <c r="L54" s="11" t="s">
        <v>540</v>
      </c>
      <c r="M54" s="11" t="s">
        <v>541</v>
      </c>
      <c r="N54" s="9" t="s">
        <v>117</v>
      </c>
      <c r="O54" s="12" t="n">
        <v>3</v>
      </c>
      <c r="P54" s="12" t="n">
        <v>4</v>
      </c>
      <c r="Q54" s="13" t="n">
        <f aca="false">IF(OR(O54="",P54=""),"",O54*P54)</f>
        <v>12</v>
      </c>
      <c r="R54" s="14" t="str">
        <f aca="false">IF(Q54="","",IF(Q54&gt;=Scoring!$B$24,"Critical",IF(Q54&gt;=Scoring!$B$23,"High",IF(Q54&gt;=Scoring!$B$22,"Medium","Low"))))</f>
        <v>High</v>
      </c>
      <c r="S54" s="14" t="str">
        <f aca="false">IF(Q54="","",IF(Q54&lt;=Scoring!$B$27,"Yes","No"))</f>
        <v>No</v>
      </c>
      <c r="T54" s="9" t="s">
        <v>84</v>
      </c>
      <c r="U54" s="11" t="s">
        <v>542</v>
      </c>
      <c r="V54" s="11" t="s">
        <v>534</v>
      </c>
      <c r="W54" s="10" t="n">
        <v>46507</v>
      </c>
      <c r="X54" s="9" t="s">
        <v>99</v>
      </c>
      <c r="Y54" s="11" t="s">
        <v>543</v>
      </c>
      <c r="Z54" s="10" t="n">
        <v>46269</v>
      </c>
      <c r="AA54" s="15" t="n">
        <f aca="false">IF(OR(Z54="",R54=""),"",Z54+INDEX(Scoring!$E$21:$E$24,MATCH(R54,Scoring!$A$21:$A$24,0)))</f>
        <v>46359</v>
      </c>
      <c r="AB54" s="16" t="n">
        <f aca="false">IF(Q54="","",Q54+(1000-ROW())/100000)</f>
        <v>12.00946</v>
      </c>
    </row>
    <row r="55" customFormat="false" ht="99.75" hidden="false" customHeight="true" outlineLevel="0" collapsed="false">
      <c r="A55" s="9" t="s">
        <v>544</v>
      </c>
      <c r="B55" s="10" t="n">
        <v>46177</v>
      </c>
      <c r="C55" s="11" t="s">
        <v>516</v>
      </c>
      <c r="D55" s="11" t="s">
        <v>545</v>
      </c>
      <c r="E55" s="11" t="s">
        <v>546</v>
      </c>
      <c r="F55" s="11" t="s">
        <v>547</v>
      </c>
      <c r="G55" s="11" t="s">
        <v>530</v>
      </c>
      <c r="H55" s="12" t="n">
        <v>4</v>
      </c>
      <c r="I55" s="12" t="n">
        <v>4</v>
      </c>
      <c r="J55" s="13" t="n">
        <f aca="false">IF(OR(H55="",I55=""),"",H55*I55)</f>
        <v>16</v>
      </c>
      <c r="K55" s="14" t="str">
        <f aca="false">IF(J55="","",IF(J55&gt;=Scoring!$B$24,"Critical",IF(J55&gt;=Scoring!$B$23,"High",IF(J55&gt;=Scoring!$B$22,"Medium","Low"))))</f>
        <v>Critical</v>
      </c>
      <c r="L55" s="11" t="s">
        <v>548</v>
      </c>
      <c r="M55" s="11" t="s">
        <v>549</v>
      </c>
      <c r="N55" s="9" t="s">
        <v>117</v>
      </c>
      <c r="O55" s="12" t="n">
        <v>3</v>
      </c>
      <c r="P55" s="12" t="n">
        <v>3</v>
      </c>
      <c r="Q55" s="13" t="n">
        <f aca="false">IF(OR(O55="",P55=""),"",O55*P55)</f>
        <v>9</v>
      </c>
      <c r="R55" s="14" t="str">
        <f aca="false">IF(Q55="","",IF(Q55&gt;=Scoring!$B$24,"Critical",IF(Q55&gt;=Scoring!$B$23,"High",IF(Q55&gt;=Scoring!$B$22,"Medium","Low"))))</f>
        <v>Medium</v>
      </c>
      <c r="S55" s="14" t="str">
        <f aca="false">IF(Q55="","",IF(Q55&lt;=Scoring!$B$27,"Yes","No"))</f>
        <v>Yes</v>
      </c>
      <c r="T55" s="9" t="s">
        <v>84</v>
      </c>
      <c r="U55" s="11" t="s">
        <v>550</v>
      </c>
      <c r="V55" s="11" t="s">
        <v>534</v>
      </c>
      <c r="W55" s="10" t="n">
        <v>46305</v>
      </c>
      <c r="X55" s="9" t="s">
        <v>87</v>
      </c>
      <c r="Y55" s="11" t="s">
        <v>551</v>
      </c>
      <c r="Z55" s="10" t="n">
        <v>46276</v>
      </c>
      <c r="AA55" s="15" t="n">
        <f aca="false">IF(OR(Z55="",R55=""),"",Z55+INDEX(Scoring!$E$21:$E$24,MATCH(R55,Scoring!$A$21:$A$24,0)))</f>
        <v>46456</v>
      </c>
      <c r="AB55" s="16" t="n">
        <f aca="false">IF(Q55="","",Q55+(1000-ROW())/100000)</f>
        <v>9.00945</v>
      </c>
    </row>
    <row r="56" customFormat="false" ht="99.75" hidden="false" customHeight="true" outlineLevel="0" collapsed="false">
      <c r="A56" s="9" t="s">
        <v>552</v>
      </c>
      <c r="B56" s="10" t="n">
        <v>46182</v>
      </c>
      <c r="C56" s="11" t="s">
        <v>516</v>
      </c>
      <c r="D56" s="11" t="s">
        <v>553</v>
      </c>
      <c r="E56" s="11" t="s">
        <v>554</v>
      </c>
      <c r="F56" s="11" t="s">
        <v>555</v>
      </c>
      <c r="G56" s="11" t="s">
        <v>348</v>
      </c>
      <c r="H56" s="12" t="n">
        <v>3</v>
      </c>
      <c r="I56" s="12" t="n">
        <v>4</v>
      </c>
      <c r="J56" s="13" t="n">
        <f aca="false">IF(OR(H56="",I56=""),"",H56*I56)</f>
        <v>12</v>
      </c>
      <c r="K56" s="14" t="str">
        <f aca="false">IF(J56="","",IF(J56&gt;=Scoring!$B$24,"Critical",IF(J56&gt;=Scoring!$B$23,"High",IF(J56&gt;=Scoring!$B$22,"Medium","Low"))))</f>
        <v>High</v>
      </c>
      <c r="L56" s="11" t="s">
        <v>556</v>
      </c>
      <c r="M56" s="11" t="s">
        <v>557</v>
      </c>
      <c r="N56" s="9" t="s">
        <v>83</v>
      </c>
      <c r="O56" s="12" t="n">
        <v>2</v>
      </c>
      <c r="P56" s="12" t="n">
        <v>3</v>
      </c>
      <c r="Q56" s="13" t="n">
        <f aca="false">IF(OR(O56="",P56=""),"",O56*P56)</f>
        <v>6</v>
      </c>
      <c r="R56" s="14" t="str">
        <f aca="false">IF(Q56="","",IF(Q56&gt;=Scoring!$B$24,"Critical",IF(Q56&gt;=Scoring!$B$23,"High",IF(Q56&gt;=Scoring!$B$22,"Medium","Low"))))</f>
        <v>Medium</v>
      </c>
      <c r="S56" s="14" t="str">
        <f aca="false">IF(Q56="","",IF(Q56&lt;=Scoring!$B$27,"Yes","No"))</f>
        <v>Yes</v>
      </c>
      <c r="T56" s="9" t="s">
        <v>84</v>
      </c>
      <c r="U56" s="11" t="s">
        <v>558</v>
      </c>
      <c r="V56" s="11" t="s">
        <v>559</v>
      </c>
      <c r="W56" s="10" t="n">
        <v>46446</v>
      </c>
      <c r="X56" s="9" t="s">
        <v>99</v>
      </c>
      <c r="Y56" s="11" t="s">
        <v>560</v>
      </c>
      <c r="Z56" s="10" t="n">
        <v>46283</v>
      </c>
      <c r="AA56" s="15" t="n">
        <f aca="false">IF(OR(Z56="",R56=""),"",Z56+INDEX(Scoring!$E$21:$E$24,MATCH(R56,Scoring!$A$21:$A$24,0)))</f>
        <v>46463</v>
      </c>
      <c r="AB56" s="16" t="n">
        <f aca="false">IF(Q56="","",Q56+(1000-ROW())/100000)</f>
        <v>6.00944</v>
      </c>
    </row>
    <row r="57" customFormat="false" ht="99.75" hidden="false" customHeight="true" outlineLevel="0" collapsed="false">
      <c r="A57" s="9" t="s">
        <v>561</v>
      </c>
      <c r="B57" s="10" t="n">
        <v>46187</v>
      </c>
      <c r="C57" s="11" t="s">
        <v>516</v>
      </c>
      <c r="D57" s="11" t="s">
        <v>562</v>
      </c>
      <c r="E57" s="11" t="s">
        <v>563</v>
      </c>
      <c r="F57" s="11" t="s">
        <v>564</v>
      </c>
      <c r="G57" s="11" t="s">
        <v>520</v>
      </c>
      <c r="H57" s="12" t="n">
        <v>4</v>
      </c>
      <c r="I57" s="12" t="n">
        <v>4</v>
      </c>
      <c r="J57" s="13" t="n">
        <f aca="false">IF(OR(H57="",I57=""),"",H57*I57)</f>
        <v>16</v>
      </c>
      <c r="K57" s="14" t="str">
        <f aca="false">IF(J57="","",IF(J57&gt;=Scoring!$B$24,"Critical",IF(J57&gt;=Scoring!$B$23,"High",IF(J57&gt;=Scoring!$B$22,"Medium","Low"))))</f>
        <v>Critical</v>
      </c>
      <c r="L57" s="11" t="s">
        <v>565</v>
      </c>
      <c r="M57" s="11" t="s">
        <v>566</v>
      </c>
      <c r="N57" s="9" t="s">
        <v>83</v>
      </c>
      <c r="O57" s="12" t="n">
        <v>3</v>
      </c>
      <c r="P57" s="12" t="n">
        <v>3</v>
      </c>
      <c r="Q57" s="13" t="n">
        <f aca="false">IF(OR(O57="",P57=""),"",O57*P57)</f>
        <v>9</v>
      </c>
      <c r="R57" s="14" t="str">
        <f aca="false">IF(Q57="","",IF(Q57&gt;=Scoring!$B$24,"Critical",IF(Q57&gt;=Scoring!$B$23,"High",IF(Q57&gt;=Scoring!$B$22,"Medium","Low"))))</f>
        <v>Medium</v>
      </c>
      <c r="S57" s="14" t="str">
        <f aca="false">IF(Q57="","",IF(Q57&lt;=Scoring!$B$27,"Yes","No"))</f>
        <v>Yes</v>
      </c>
      <c r="T57" s="9" t="s">
        <v>84</v>
      </c>
      <c r="U57" s="11" t="s">
        <v>567</v>
      </c>
      <c r="V57" s="11" t="s">
        <v>524</v>
      </c>
      <c r="W57" s="10" t="n">
        <v>46477</v>
      </c>
      <c r="X57" s="9" t="s">
        <v>87</v>
      </c>
      <c r="Y57" s="11" t="s">
        <v>568</v>
      </c>
      <c r="Z57" s="10" t="n">
        <v>46290</v>
      </c>
      <c r="AA57" s="15" t="n">
        <f aca="false">IF(OR(Z57="",R57=""),"",Z57+INDEX(Scoring!$E$21:$E$24,MATCH(R57,Scoring!$A$21:$A$24,0)))</f>
        <v>46470</v>
      </c>
      <c r="AB57" s="16" t="n">
        <f aca="false">IF(Q57="","",Q57+(1000-ROW())/100000)</f>
        <v>9.00943</v>
      </c>
    </row>
    <row r="58" customFormat="false" ht="99.75" hidden="false" customHeight="true" outlineLevel="0" collapsed="false">
      <c r="A58" s="9" t="s">
        <v>569</v>
      </c>
      <c r="B58" s="10" t="n">
        <v>46192</v>
      </c>
      <c r="C58" s="11" t="s">
        <v>516</v>
      </c>
      <c r="D58" s="11" t="s">
        <v>570</v>
      </c>
      <c r="E58" s="11" t="s">
        <v>571</v>
      </c>
      <c r="F58" s="11" t="s">
        <v>572</v>
      </c>
      <c r="G58" s="11" t="s">
        <v>217</v>
      </c>
      <c r="H58" s="12" t="n">
        <v>4</v>
      </c>
      <c r="I58" s="12" t="n">
        <v>3</v>
      </c>
      <c r="J58" s="13" t="n">
        <f aca="false">IF(OR(H58="",I58=""),"",H58*I58)</f>
        <v>12</v>
      </c>
      <c r="K58" s="14" t="str">
        <f aca="false">IF(J58="","",IF(J58&gt;=Scoring!$B$24,"Critical",IF(J58&gt;=Scoring!$B$23,"High",IF(J58&gt;=Scoring!$B$22,"Medium","Low"))))</f>
        <v>High</v>
      </c>
      <c r="L58" s="11" t="s">
        <v>573</v>
      </c>
      <c r="M58" s="11" t="s">
        <v>574</v>
      </c>
      <c r="N58" s="9" t="s">
        <v>83</v>
      </c>
      <c r="O58" s="12" t="n">
        <v>3</v>
      </c>
      <c r="P58" s="12" t="n">
        <v>2</v>
      </c>
      <c r="Q58" s="13" t="n">
        <f aca="false">IF(OR(O58="",P58=""),"",O58*P58)</f>
        <v>6</v>
      </c>
      <c r="R58" s="14" t="str">
        <f aca="false">IF(Q58="","",IF(Q58&gt;=Scoring!$B$24,"Critical",IF(Q58&gt;=Scoring!$B$23,"High",IF(Q58&gt;=Scoring!$B$22,"Medium","Low"))))</f>
        <v>Medium</v>
      </c>
      <c r="S58" s="14" t="str">
        <f aca="false">IF(Q58="","",IF(Q58&lt;=Scoring!$B$27,"Yes","No"))</f>
        <v>Yes</v>
      </c>
      <c r="T58" s="9" t="s">
        <v>297</v>
      </c>
      <c r="U58" s="11" t="s">
        <v>575</v>
      </c>
      <c r="V58" s="11" t="s">
        <v>576</v>
      </c>
      <c r="W58" s="10"/>
      <c r="X58" s="9" t="s">
        <v>279</v>
      </c>
      <c r="Y58" s="11" t="s">
        <v>577</v>
      </c>
      <c r="Z58" s="10" t="n">
        <v>46297</v>
      </c>
      <c r="AA58" s="15" t="n">
        <f aca="false">IF(OR(Z58="",R58=""),"",Z58+INDEX(Scoring!$E$21:$E$24,MATCH(R58,Scoring!$A$21:$A$24,0)))</f>
        <v>46477</v>
      </c>
      <c r="AB58" s="16" t="n">
        <f aca="false">IF(Q58="","",Q58+(1000-ROW())/100000)</f>
        <v>6.00942</v>
      </c>
    </row>
    <row r="59" customFormat="false" ht="99.75" hidden="false" customHeight="true" outlineLevel="0" collapsed="false">
      <c r="A59" s="9" t="s">
        <v>578</v>
      </c>
      <c r="B59" s="10" t="n">
        <v>46197</v>
      </c>
      <c r="C59" s="11" t="s">
        <v>516</v>
      </c>
      <c r="D59" s="11" t="s">
        <v>579</v>
      </c>
      <c r="E59" s="11" t="s">
        <v>580</v>
      </c>
      <c r="F59" s="11" t="s">
        <v>581</v>
      </c>
      <c r="G59" s="11" t="s">
        <v>156</v>
      </c>
      <c r="H59" s="12" t="n">
        <v>3</v>
      </c>
      <c r="I59" s="12" t="n">
        <v>4</v>
      </c>
      <c r="J59" s="13" t="n">
        <f aca="false">IF(OR(H59="",I59=""),"",H59*I59)</f>
        <v>12</v>
      </c>
      <c r="K59" s="14" t="str">
        <f aca="false">IF(J59="","",IF(J59&gt;=Scoring!$B$24,"Critical",IF(J59&gt;=Scoring!$B$23,"High",IF(J59&gt;=Scoring!$B$22,"Medium","Low"))))</f>
        <v>High</v>
      </c>
      <c r="L59" s="11" t="s">
        <v>582</v>
      </c>
      <c r="M59" s="11" t="s">
        <v>583</v>
      </c>
      <c r="N59" s="9" t="s">
        <v>83</v>
      </c>
      <c r="O59" s="12" t="n">
        <v>2</v>
      </c>
      <c r="P59" s="12" t="n">
        <v>3</v>
      </c>
      <c r="Q59" s="13" t="n">
        <f aca="false">IF(OR(O59="",P59=""),"",O59*P59)</f>
        <v>6</v>
      </c>
      <c r="R59" s="14" t="str">
        <f aca="false">IF(Q59="","",IF(Q59&gt;=Scoring!$B$24,"Critical",IF(Q59&gt;=Scoring!$B$23,"High",IF(Q59&gt;=Scoring!$B$22,"Medium","Low"))))</f>
        <v>Medium</v>
      </c>
      <c r="S59" s="14" t="str">
        <f aca="false">IF(Q59="","",IF(Q59&lt;=Scoring!$B$27,"Yes","No"))</f>
        <v>Yes</v>
      </c>
      <c r="T59" s="9" t="s">
        <v>84</v>
      </c>
      <c r="U59" s="11" t="s">
        <v>584</v>
      </c>
      <c r="V59" s="11" t="s">
        <v>513</v>
      </c>
      <c r="W59" s="10" t="n">
        <v>46402</v>
      </c>
      <c r="X59" s="9" t="s">
        <v>87</v>
      </c>
      <c r="Y59" s="11" t="s">
        <v>585</v>
      </c>
      <c r="Z59" s="10" t="n">
        <v>46304</v>
      </c>
      <c r="AA59" s="15" t="n">
        <f aca="false">IF(OR(Z59="",R59=""),"",Z59+INDEX(Scoring!$E$21:$E$24,MATCH(R59,Scoring!$A$21:$A$24,0)))</f>
        <v>46484</v>
      </c>
      <c r="AB59" s="16" t="n">
        <f aca="false">IF(Q59="","",Q59+(1000-ROW())/100000)</f>
        <v>6.00941</v>
      </c>
    </row>
    <row r="60" customFormat="false" ht="99.75" hidden="false" customHeight="true" outlineLevel="0" collapsed="false">
      <c r="A60" s="9" t="s">
        <v>586</v>
      </c>
      <c r="B60" s="10" t="n">
        <v>46202</v>
      </c>
      <c r="C60" s="11" t="s">
        <v>516</v>
      </c>
      <c r="D60" s="11" t="s">
        <v>587</v>
      </c>
      <c r="E60" s="11" t="s">
        <v>588</v>
      </c>
      <c r="F60" s="11" t="s">
        <v>589</v>
      </c>
      <c r="G60" s="11" t="s">
        <v>217</v>
      </c>
      <c r="H60" s="12" t="n">
        <v>3</v>
      </c>
      <c r="I60" s="12" t="n">
        <v>3</v>
      </c>
      <c r="J60" s="13" t="n">
        <f aca="false">IF(OR(H60="",I60=""),"",H60*I60)</f>
        <v>9</v>
      </c>
      <c r="K60" s="14" t="str">
        <f aca="false">IF(J60="","",IF(J60&gt;=Scoring!$B$24,"Critical",IF(J60&gt;=Scoring!$B$23,"High",IF(J60&gt;=Scoring!$B$22,"Medium","Low"))))</f>
        <v>Medium</v>
      </c>
      <c r="L60" s="11" t="s">
        <v>590</v>
      </c>
      <c r="M60" s="11" t="s">
        <v>591</v>
      </c>
      <c r="N60" s="9" t="s">
        <v>296</v>
      </c>
      <c r="O60" s="12" t="n">
        <v>1</v>
      </c>
      <c r="P60" s="12" t="n">
        <v>2</v>
      </c>
      <c r="Q60" s="13" t="n">
        <f aca="false">IF(OR(O60="",P60=""),"",O60*P60)</f>
        <v>2</v>
      </c>
      <c r="R60" s="14" t="str">
        <f aca="false">IF(Q60="","",IF(Q60&gt;=Scoring!$B$24,"Critical",IF(Q60&gt;=Scoring!$B$23,"High",IF(Q60&gt;=Scoring!$B$22,"Medium","Low"))))</f>
        <v>Low</v>
      </c>
      <c r="S60" s="14" t="str">
        <f aca="false">IF(Q60="","",IF(Q60&lt;=Scoring!$B$27,"Yes","No"))</f>
        <v>Yes</v>
      </c>
      <c r="T60" s="9" t="s">
        <v>84</v>
      </c>
      <c r="U60" s="11" t="s">
        <v>592</v>
      </c>
      <c r="V60" s="11" t="s">
        <v>593</v>
      </c>
      <c r="W60" s="10" t="n">
        <v>46265</v>
      </c>
      <c r="X60" s="9" t="s">
        <v>460</v>
      </c>
      <c r="Y60" s="11" t="s">
        <v>594</v>
      </c>
      <c r="Z60" s="10" t="n">
        <v>46256</v>
      </c>
      <c r="AA60" s="15" t="n">
        <f aca="false">IF(OR(Z60="",R60=""),"",Z60+INDEX(Scoring!$E$21:$E$24,MATCH(R60,Scoring!$A$21:$A$24,0)))</f>
        <v>46621</v>
      </c>
      <c r="AB60" s="16" t="n">
        <f aca="false">IF(Q60="","",Q60+(1000-ROW())/100000)</f>
        <v>2.0094</v>
      </c>
    </row>
    <row r="61" customFormat="false" ht="99.75" hidden="false" customHeight="true" outlineLevel="0" collapsed="false">
      <c r="A61" s="9" t="s">
        <v>595</v>
      </c>
      <c r="B61" s="10" t="n">
        <v>46207</v>
      </c>
      <c r="C61" s="11" t="s">
        <v>516</v>
      </c>
      <c r="D61" s="11" t="s">
        <v>596</v>
      </c>
      <c r="E61" s="11" t="s">
        <v>597</v>
      </c>
      <c r="F61" s="11" t="s">
        <v>598</v>
      </c>
      <c r="G61" s="11" t="s">
        <v>520</v>
      </c>
      <c r="H61" s="12" t="n">
        <v>3</v>
      </c>
      <c r="I61" s="12" t="n">
        <v>4</v>
      </c>
      <c r="J61" s="13" t="n">
        <f aca="false">IF(OR(H61="",I61=""),"",H61*I61)</f>
        <v>12</v>
      </c>
      <c r="K61" s="14" t="str">
        <f aca="false">IF(J61="","",IF(J61&gt;=Scoring!$B$24,"Critical",IF(J61&gt;=Scoring!$B$23,"High",IF(J61&gt;=Scoring!$B$22,"Medium","Low"))))</f>
        <v>High</v>
      </c>
      <c r="L61" s="11" t="s">
        <v>599</v>
      </c>
      <c r="M61" s="11" t="s">
        <v>600</v>
      </c>
      <c r="N61" s="9" t="s">
        <v>83</v>
      </c>
      <c r="O61" s="12" t="n">
        <v>2</v>
      </c>
      <c r="P61" s="12" t="n">
        <v>3</v>
      </c>
      <c r="Q61" s="13" t="n">
        <f aca="false">IF(OR(O61="",P61=""),"",O61*P61)</f>
        <v>6</v>
      </c>
      <c r="R61" s="14" t="str">
        <f aca="false">IF(Q61="","",IF(Q61&gt;=Scoring!$B$24,"Critical",IF(Q61&gt;=Scoring!$B$23,"High",IF(Q61&gt;=Scoring!$B$22,"Medium","Low"))))</f>
        <v>Medium</v>
      </c>
      <c r="S61" s="14" t="str">
        <f aca="false">IF(Q61="","",IF(Q61&lt;=Scoring!$B$27,"Yes","No"))</f>
        <v>Yes</v>
      </c>
      <c r="T61" s="9" t="s">
        <v>84</v>
      </c>
      <c r="U61" s="11" t="s">
        <v>601</v>
      </c>
      <c r="V61" s="11" t="s">
        <v>602</v>
      </c>
      <c r="W61" s="10" t="n">
        <v>46477</v>
      </c>
      <c r="X61" s="9" t="s">
        <v>99</v>
      </c>
      <c r="Y61" s="11" t="s">
        <v>603</v>
      </c>
      <c r="Z61" s="10" t="n">
        <v>46263</v>
      </c>
      <c r="AA61" s="15" t="n">
        <f aca="false">IF(OR(Z61="",R61=""),"",Z61+INDEX(Scoring!$E$21:$E$24,MATCH(R61,Scoring!$A$21:$A$24,0)))</f>
        <v>46443</v>
      </c>
      <c r="AB61" s="16" t="n">
        <f aca="false">IF(Q61="","",Q61+(1000-ROW())/100000)</f>
        <v>6.00939</v>
      </c>
    </row>
    <row r="62" customFormat="false" ht="99.75" hidden="false" customHeight="true" outlineLevel="0" collapsed="false">
      <c r="A62" s="9" t="s">
        <v>604</v>
      </c>
      <c r="B62" s="10" t="n">
        <v>46212</v>
      </c>
      <c r="C62" s="11" t="s">
        <v>605</v>
      </c>
      <c r="D62" s="11" t="s">
        <v>606</v>
      </c>
      <c r="E62" s="11" t="s">
        <v>607</v>
      </c>
      <c r="F62" s="11" t="s">
        <v>608</v>
      </c>
      <c r="G62" s="11" t="s">
        <v>156</v>
      </c>
      <c r="H62" s="12" t="n">
        <v>3</v>
      </c>
      <c r="I62" s="12" t="n">
        <v>4</v>
      </c>
      <c r="J62" s="13" t="n">
        <f aca="false">IF(OR(H62="",I62=""),"",H62*I62)</f>
        <v>12</v>
      </c>
      <c r="K62" s="14" t="str">
        <f aca="false">IF(J62="","",IF(J62&gt;=Scoring!$B$24,"Critical",IF(J62&gt;=Scoring!$B$23,"High",IF(J62&gt;=Scoring!$B$22,"Medium","Low"))))</f>
        <v>High</v>
      </c>
      <c r="L62" s="11" t="s">
        <v>609</v>
      </c>
      <c r="M62" s="11" t="s">
        <v>610</v>
      </c>
      <c r="N62" s="9" t="s">
        <v>117</v>
      </c>
      <c r="O62" s="12" t="n">
        <v>3</v>
      </c>
      <c r="P62" s="12" t="n">
        <v>3</v>
      </c>
      <c r="Q62" s="13" t="n">
        <f aca="false">IF(OR(O62="",P62=""),"",O62*P62)</f>
        <v>9</v>
      </c>
      <c r="R62" s="14" t="str">
        <f aca="false">IF(Q62="","",IF(Q62&gt;=Scoring!$B$24,"Critical",IF(Q62&gt;=Scoring!$B$23,"High",IF(Q62&gt;=Scoring!$B$22,"Medium","Low"))))</f>
        <v>Medium</v>
      </c>
      <c r="S62" s="14" t="str">
        <f aca="false">IF(Q62="","",IF(Q62&lt;=Scoring!$B$27,"Yes","No"))</f>
        <v>Yes</v>
      </c>
      <c r="T62" s="9" t="s">
        <v>84</v>
      </c>
      <c r="U62" s="11" t="s">
        <v>611</v>
      </c>
      <c r="V62" s="11" t="s">
        <v>469</v>
      </c>
      <c r="W62" s="10" t="n">
        <v>46507</v>
      </c>
      <c r="X62" s="9" t="s">
        <v>99</v>
      </c>
      <c r="Y62" s="11" t="s">
        <v>612</v>
      </c>
      <c r="Z62" s="10" t="n">
        <v>46270</v>
      </c>
      <c r="AA62" s="15" t="n">
        <f aca="false">IF(OR(Z62="",R62=""),"",Z62+INDEX(Scoring!$E$21:$E$24,MATCH(R62,Scoring!$A$21:$A$24,0)))</f>
        <v>46450</v>
      </c>
      <c r="AB62" s="16" t="n">
        <f aca="false">IF(Q62="","",Q62+(1000-ROW())/100000)</f>
        <v>9.00938</v>
      </c>
    </row>
    <row r="63" customFormat="false" ht="99.75" hidden="false" customHeight="true" outlineLevel="0" collapsed="false">
      <c r="A63" s="9" t="s">
        <v>613</v>
      </c>
      <c r="B63" s="10" t="n">
        <v>46217</v>
      </c>
      <c r="C63" s="11" t="s">
        <v>605</v>
      </c>
      <c r="D63" s="11" t="s">
        <v>614</v>
      </c>
      <c r="E63" s="11" t="s">
        <v>615</v>
      </c>
      <c r="F63" s="11" t="s">
        <v>616</v>
      </c>
      <c r="G63" s="11" t="s">
        <v>156</v>
      </c>
      <c r="H63" s="12" t="n">
        <v>3</v>
      </c>
      <c r="I63" s="12" t="n">
        <v>4</v>
      </c>
      <c r="J63" s="13" t="n">
        <f aca="false">IF(OR(H63="",I63=""),"",H63*I63)</f>
        <v>12</v>
      </c>
      <c r="K63" s="14" t="str">
        <f aca="false">IF(J63="","",IF(J63&gt;=Scoring!$B$24,"Critical",IF(J63&gt;=Scoring!$B$23,"High",IF(J63&gt;=Scoring!$B$22,"Medium","Low"))))</f>
        <v>High</v>
      </c>
      <c r="L63" s="11" t="s">
        <v>617</v>
      </c>
      <c r="M63" s="11" t="s">
        <v>618</v>
      </c>
      <c r="N63" s="9" t="s">
        <v>83</v>
      </c>
      <c r="O63" s="12" t="n">
        <v>2</v>
      </c>
      <c r="P63" s="12" t="n">
        <v>3</v>
      </c>
      <c r="Q63" s="13" t="n">
        <f aca="false">IF(OR(O63="",P63=""),"",O63*P63)</f>
        <v>6</v>
      </c>
      <c r="R63" s="14" t="str">
        <f aca="false">IF(Q63="","",IF(Q63&gt;=Scoring!$B$24,"Critical",IF(Q63&gt;=Scoring!$B$23,"High",IF(Q63&gt;=Scoring!$B$22,"Medium","Low"))))</f>
        <v>Medium</v>
      </c>
      <c r="S63" s="14" t="str">
        <f aca="false">IF(Q63="","",IF(Q63&lt;=Scoring!$B$27,"Yes","No"))</f>
        <v>Yes</v>
      </c>
      <c r="T63" s="9" t="s">
        <v>84</v>
      </c>
      <c r="U63" s="11" t="s">
        <v>619</v>
      </c>
      <c r="V63" s="11" t="s">
        <v>620</v>
      </c>
      <c r="W63" s="10" t="n">
        <v>46371</v>
      </c>
      <c r="X63" s="9" t="s">
        <v>99</v>
      </c>
      <c r="Y63" s="11" t="s">
        <v>621</v>
      </c>
      <c r="Z63" s="10" t="n">
        <v>46277</v>
      </c>
      <c r="AA63" s="15" t="n">
        <f aca="false">IF(OR(Z63="",R63=""),"",Z63+INDEX(Scoring!$E$21:$E$24,MATCH(R63,Scoring!$A$21:$A$24,0)))</f>
        <v>46457</v>
      </c>
      <c r="AB63" s="16" t="n">
        <f aca="false">IF(Q63="","",Q63+(1000-ROW())/100000)</f>
        <v>6.00937</v>
      </c>
    </row>
    <row r="64" customFormat="false" ht="99.75" hidden="false" customHeight="true" outlineLevel="0" collapsed="false">
      <c r="A64" s="9" t="s">
        <v>622</v>
      </c>
      <c r="B64" s="10" t="n">
        <v>46222</v>
      </c>
      <c r="C64" s="11" t="s">
        <v>605</v>
      </c>
      <c r="D64" s="11" t="s">
        <v>623</v>
      </c>
      <c r="E64" s="11" t="s">
        <v>624</v>
      </c>
      <c r="F64" s="11" t="s">
        <v>625</v>
      </c>
      <c r="G64" s="11" t="s">
        <v>146</v>
      </c>
      <c r="H64" s="12" t="n">
        <v>4</v>
      </c>
      <c r="I64" s="12" t="n">
        <v>4</v>
      </c>
      <c r="J64" s="13" t="n">
        <f aca="false">IF(OR(H64="",I64=""),"",H64*I64)</f>
        <v>16</v>
      </c>
      <c r="K64" s="14" t="str">
        <f aca="false">IF(J64="","",IF(J64&gt;=Scoring!$B$24,"Critical",IF(J64&gt;=Scoring!$B$23,"High",IF(J64&gt;=Scoring!$B$22,"Medium","Low"))))</f>
        <v>Critical</v>
      </c>
      <c r="L64" s="11" t="s">
        <v>626</v>
      </c>
      <c r="M64" s="11" t="s">
        <v>627</v>
      </c>
      <c r="N64" s="9" t="s">
        <v>83</v>
      </c>
      <c r="O64" s="12" t="n">
        <v>3</v>
      </c>
      <c r="P64" s="12" t="n">
        <v>3</v>
      </c>
      <c r="Q64" s="13" t="n">
        <f aca="false">IF(OR(O64="",P64=""),"",O64*P64)</f>
        <v>9</v>
      </c>
      <c r="R64" s="14" t="str">
        <f aca="false">IF(Q64="","",IF(Q64&gt;=Scoring!$B$24,"Critical",IF(Q64&gt;=Scoring!$B$23,"High",IF(Q64&gt;=Scoring!$B$22,"Medium","Low"))))</f>
        <v>Medium</v>
      </c>
      <c r="S64" s="14" t="str">
        <f aca="false">IF(Q64="","",IF(Q64&lt;=Scoring!$B$27,"Yes","No"))</f>
        <v>Yes</v>
      </c>
      <c r="T64" s="9" t="s">
        <v>84</v>
      </c>
      <c r="U64" s="11" t="s">
        <v>628</v>
      </c>
      <c r="V64" s="11" t="s">
        <v>191</v>
      </c>
      <c r="W64" s="10" t="n">
        <v>46387</v>
      </c>
      <c r="X64" s="9" t="s">
        <v>87</v>
      </c>
      <c r="Y64" s="11" t="s">
        <v>629</v>
      </c>
      <c r="Z64" s="10" t="n">
        <v>46284</v>
      </c>
      <c r="AA64" s="15" t="n">
        <f aca="false">IF(OR(Z64="",R64=""),"",Z64+INDEX(Scoring!$E$21:$E$24,MATCH(R64,Scoring!$A$21:$A$24,0)))</f>
        <v>46464</v>
      </c>
      <c r="AB64" s="16" t="n">
        <f aca="false">IF(Q64="","",Q64+(1000-ROW())/100000)</f>
        <v>9.00936</v>
      </c>
    </row>
    <row r="65" customFormat="false" ht="99.75" hidden="false" customHeight="true" outlineLevel="0" collapsed="false">
      <c r="A65" s="9" t="s">
        <v>630</v>
      </c>
      <c r="B65" s="10" t="n">
        <v>46227</v>
      </c>
      <c r="C65" s="11" t="s">
        <v>605</v>
      </c>
      <c r="D65" s="11" t="s">
        <v>631</v>
      </c>
      <c r="E65" s="11" t="s">
        <v>632</v>
      </c>
      <c r="F65" s="11" t="s">
        <v>633</v>
      </c>
      <c r="G65" s="11" t="s">
        <v>227</v>
      </c>
      <c r="H65" s="12" t="n">
        <v>2</v>
      </c>
      <c r="I65" s="12" t="n">
        <v>4</v>
      </c>
      <c r="J65" s="13" t="n">
        <f aca="false">IF(OR(H65="",I65=""),"",H65*I65)</f>
        <v>8</v>
      </c>
      <c r="K65" s="14" t="str">
        <f aca="false">IF(J65="","",IF(J65&gt;=Scoring!$B$24,"Critical",IF(J65&gt;=Scoring!$B$23,"High",IF(J65&gt;=Scoring!$B$22,"Medium","Low"))))</f>
        <v>Medium</v>
      </c>
      <c r="L65" s="11" t="s">
        <v>634</v>
      </c>
      <c r="M65" s="11" t="s">
        <v>635</v>
      </c>
      <c r="N65" s="9" t="s">
        <v>83</v>
      </c>
      <c r="O65" s="12" t="n">
        <v>1</v>
      </c>
      <c r="P65" s="12" t="n">
        <v>4</v>
      </c>
      <c r="Q65" s="13" t="n">
        <f aca="false">IF(OR(O65="",P65=""),"",O65*P65)</f>
        <v>4</v>
      </c>
      <c r="R65" s="14" t="str">
        <f aca="false">IF(Q65="","",IF(Q65&gt;=Scoring!$B$24,"Critical",IF(Q65&gt;=Scoring!$B$23,"High",IF(Q65&gt;=Scoring!$B$22,"Medium","Low"))))</f>
        <v>Low</v>
      </c>
      <c r="S65" s="14" t="str">
        <f aca="false">IF(Q65="","",IF(Q65&lt;=Scoring!$B$27,"Yes","No"))</f>
        <v>Yes</v>
      </c>
      <c r="T65" s="9" t="s">
        <v>84</v>
      </c>
      <c r="U65" s="11" t="s">
        <v>636</v>
      </c>
      <c r="V65" s="11" t="s">
        <v>469</v>
      </c>
      <c r="W65" s="10" t="n">
        <v>46477</v>
      </c>
      <c r="X65" s="9" t="s">
        <v>279</v>
      </c>
      <c r="Y65" s="11" t="s">
        <v>637</v>
      </c>
      <c r="Z65" s="10" t="n">
        <v>46291</v>
      </c>
      <c r="AA65" s="15" t="n">
        <f aca="false">IF(OR(Z65="",R65=""),"",Z65+INDEX(Scoring!$E$21:$E$24,MATCH(R65,Scoring!$A$21:$A$24,0)))</f>
        <v>46656</v>
      </c>
      <c r="AB65" s="16" t="n">
        <f aca="false">IF(Q65="","",Q65+(1000-ROW())/100000)</f>
        <v>4.00935</v>
      </c>
    </row>
    <row r="66" customFormat="false" ht="99.75" hidden="false" customHeight="true" outlineLevel="0" collapsed="false">
      <c r="A66" s="9" t="s">
        <v>638</v>
      </c>
      <c r="B66" s="10" t="n">
        <v>46232</v>
      </c>
      <c r="C66" s="11" t="s">
        <v>605</v>
      </c>
      <c r="D66" s="11" t="s">
        <v>639</v>
      </c>
      <c r="E66" s="11" t="s">
        <v>640</v>
      </c>
      <c r="F66" s="11" t="s">
        <v>641</v>
      </c>
      <c r="G66" s="11" t="s">
        <v>156</v>
      </c>
      <c r="H66" s="12" t="n">
        <v>4</v>
      </c>
      <c r="I66" s="12" t="n">
        <v>5</v>
      </c>
      <c r="J66" s="13" t="n">
        <f aca="false">IF(OR(H66="",I66=""),"",H66*I66)</f>
        <v>20</v>
      </c>
      <c r="K66" s="14" t="str">
        <f aca="false">IF(J66="","",IF(J66&gt;=Scoring!$B$24,"Critical",IF(J66&gt;=Scoring!$B$23,"High",IF(J66&gt;=Scoring!$B$22,"Medium","Low"))))</f>
        <v>Critical</v>
      </c>
      <c r="L66" s="11" t="s">
        <v>642</v>
      </c>
      <c r="M66" s="11" t="s">
        <v>643</v>
      </c>
      <c r="N66" s="9" t="s">
        <v>117</v>
      </c>
      <c r="O66" s="12" t="n">
        <v>3</v>
      </c>
      <c r="P66" s="12" t="n">
        <v>5</v>
      </c>
      <c r="Q66" s="13" t="n">
        <f aca="false">IF(OR(O66="",P66=""),"",O66*P66)</f>
        <v>15</v>
      </c>
      <c r="R66" s="14" t="str">
        <f aca="false">IF(Q66="","",IF(Q66&gt;=Scoring!$B$24,"Critical",IF(Q66&gt;=Scoring!$B$23,"High",IF(Q66&gt;=Scoring!$B$22,"Medium","Low"))))</f>
        <v>Critical</v>
      </c>
      <c r="S66" s="14" t="str">
        <f aca="false">IF(Q66="","",IF(Q66&lt;=Scoring!$B$27,"Yes","No"))</f>
        <v>No</v>
      </c>
      <c r="T66" s="9" t="s">
        <v>84</v>
      </c>
      <c r="U66" s="11" t="s">
        <v>644</v>
      </c>
      <c r="V66" s="11" t="s">
        <v>375</v>
      </c>
      <c r="W66" s="10" t="n">
        <v>46477</v>
      </c>
      <c r="X66" s="9" t="s">
        <v>87</v>
      </c>
      <c r="Y66" s="11" t="s">
        <v>645</v>
      </c>
      <c r="Z66" s="10" t="n">
        <v>46298</v>
      </c>
      <c r="AA66" s="15" t="n">
        <f aca="false">IF(OR(Z66="",R66=""),"",Z66+INDEX(Scoring!$E$21:$E$24,MATCH(R66,Scoring!$A$21:$A$24,0)))</f>
        <v>46328</v>
      </c>
      <c r="AB66" s="16" t="n">
        <f aca="false">IF(Q66="","",Q66+(1000-ROW())/100000)</f>
        <v>15.00934</v>
      </c>
    </row>
    <row r="67" customFormat="false" ht="99.75" hidden="false" customHeight="true" outlineLevel="0" collapsed="false">
      <c r="A67" s="9" t="s">
        <v>646</v>
      </c>
      <c r="B67" s="10" t="n">
        <v>46237</v>
      </c>
      <c r="C67" s="11" t="s">
        <v>605</v>
      </c>
      <c r="D67" s="11" t="s">
        <v>647</v>
      </c>
      <c r="E67" s="11" t="s">
        <v>648</v>
      </c>
      <c r="F67" s="11" t="s">
        <v>649</v>
      </c>
      <c r="G67" s="11" t="s">
        <v>156</v>
      </c>
      <c r="H67" s="12" t="n">
        <v>2</v>
      </c>
      <c r="I67" s="12" t="n">
        <v>5</v>
      </c>
      <c r="J67" s="13" t="n">
        <f aca="false">IF(OR(H67="",I67=""),"",H67*I67)</f>
        <v>10</v>
      </c>
      <c r="K67" s="14" t="str">
        <f aca="false">IF(J67="","",IF(J67&gt;=Scoring!$B$24,"Critical",IF(J67&gt;=Scoring!$B$23,"High",IF(J67&gt;=Scoring!$B$22,"Medium","Low"))))</f>
        <v>High</v>
      </c>
      <c r="L67" s="11" t="s">
        <v>650</v>
      </c>
      <c r="M67" s="11" t="s">
        <v>651</v>
      </c>
      <c r="N67" s="9" t="s">
        <v>83</v>
      </c>
      <c r="O67" s="12" t="n">
        <v>2</v>
      </c>
      <c r="P67" s="12" t="n">
        <v>4</v>
      </c>
      <c r="Q67" s="13" t="n">
        <f aca="false">IF(OR(O67="",P67=""),"",O67*P67)</f>
        <v>8</v>
      </c>
      <c r="R67" s="14" t="str">
        <f aca="false">IF(Q67="","",IF(Q67&gt;=Scoring!$B$24,"Critical",IF(Q67&gt;=Scoring!$B$23,"High",IF(Q67&gt;=Scoring!$B$22,"Medium","Low"))))</f>
        <v>Medium</v>
      </c>
      <c r="S67" s="14" t="str">
        <f aca="false">IF(Q67="","",IF(Q67&lt;=Scoring!$B$27,"Yes","No"))</f>
        <v>Yes</v>
      </c>
      <c r="T67" s="9" t="s">
        <v>84</v>
      </c>
      <c r="U67" s="11" t="s">
        <v>652</v>
      </c>
      <c r="V67" s="11" t="s">
        <v>653</v>
      </c>
      <c r="W67" s="10" t="n">
        <v>46538</v>
      </c>
      <c r="X67" s="9" t="s">
        <v>99</v>
      </c>
      <c r="Y67" s="11" t="s">
        <v>654</v>
      </c>
      <c r="Z67" s="10" t="n">
        <v>46305</v>
      </c>
      <c r="AA67" s="15" t="n">
        <f aca="false">IF(OR(Z67="",R67=""),"",Z67+INDEX(Scoring!$E$21:$E$24,MATCH(R67,Scoring!$A$21:$A$24,0)))</f>
        <v>46485</v>
      </c>
      <c r="AB67" s="16" t="n">
        <f aca="false">IF(Q67="","",Q67+(1000-ROW())/100000)</f>
        <v>8.00933</v>
      </c>
    </row>
    <row r="68" customFormat="false" ht="99.75" hidden="false" customHeight="true" outlineLevel="0" collapsed="false">
      <c r="A68" s="9" t="s">
        <v>655</v>
      </c>
      <c r="B68" s="10" t="n">
        <v>46242</v>
      </c>
      <c r="C68" s="11" t="s">
        <v>605</v>
      </c>
      <c r="D68" s="11" t="s">
        <v>656</v>
      </c>
      <c r="E68" s="11" t="s">
        <v>657</v>
      </c>
      <c r="F68" s="11" t="s">
        <v>658</v>
      </c>
      <c r="G68" s="11" t="s">
        <v>469</v>
      </c>
      <c r="H68" s="12" t="n">
        <v>3</v>
      </c>
      <c r="I68" s="12" t="n">
        <v>3</v>
      </c>
      <c r="J68" s="13" t="n">
        <f aca="false">IF(OR(H68="",I68=""),"",H68*I68)</f>
        <v>9</v>
      </c>
      <c r="K68" s="14" t="str">
        <f aca="false">IF(J68="","",IF(J68&gt;=Scoring!$B$24,"Critical",IF(J68&gt;=Scoring!$B$23,"High",IF(J68&gt;=Scoring!$B$22,"Medium","Low"))))</f>
        <v>Medium</v>
      </c>
      <c r="L68" s="11" t="s">
        <v>659</v>
      </c>
      <c r="M68" s="11" t="s">
        <v>660</v>
      </c>
      <c r="N68" s="9" t="s">
        <v>83</v>
      </c>
      <c r="O68" s="12" t="n">
        <v>2</v>
      </c>
      <c r="P68" s="12" t="n">
        <v>2</v>
      </c>
      <c r="Q68" s="13" t="n">
        <f aca="false">IF(OR(O68="",P68=""),"",O68*P68)</f>
        <v>4</v>
      </c>
      <c r="R68" s="14" t="str">
        <f aca="false">IF(Q68="","",IF(Q68&gt;=Scoring!$B$24,"Critical",IF(Q68&gt;=Scoring!$B$23,"High",IF(Q68&gt;=Scoring!$B$22,"Medium","Low"))))</f>
        <v>Low</v>
      </c>
      <c r="S68" s="14" t="str">
        <f aca="false">IF(Q68="","",IF(Q68&lt;=Scoring!$B$27,"Yes","No"))</f>
        <v>Yes</v>
      </c>
      <c r="T68" s="9" t="s">
        <v>84</v>
      </c>
      <c r="U68" s="11" t="s">
        <v>661</v>
      </c>
      <c r="V68" s="11" t="s">
        <v>653</v>
      </c>
      <c r="W68" s="10" t="n">
        <v>46356</v>
      </c>
      <c r="X68" s="9" t="s">
        <v>87</v>
      </c>
      <c r="Y68" s="11" t="s">
        <v>662</v>
      </c>
      <c r="Z68" s="10" t="n">
        <v>46257</v>
      </c>
      <c r="AA68" s="15" t="n">
        <f aca="false">IF(OR(Z68="",R68=""),"",Z68+INDEX(Scoring!$E$21:$E$24,MATCH(R68,Scoring!$A$21:$A$24,0)))</f>
        <v>46622</v>
      </c>
      <c r="AB68" s="16" t="n">
        <f aca="false">IF(Q68="","",Q68+(1000-ROW())/100000)</f>
        <v>4.00932</v>
      </c>
    </row>
    <row r="69" customFormat="false" ht="99.75" hidden="false" customHeight="true" outlineLevel="0" collapsed="false">
      <c r="A69" s="9" t="s">
        <v>663</v>
      </c>
      <c r="B69" s="10" t="n">
        <v>46247</v>
      </c>
      <c r="C69" s="11" t="s">
        <v>605</v>
      </c>
      <c r="D69" s="11" t="s">
        <v>664</v>
      </c>
      <c r="E69" s="11" t="s">
        <v>665</v>
      </c>
      <c r="F69" s="11" t="s">
        <v>666</v>
      </c>
      <c r="G69" s="11" t="s">
        <v>176</v>
      </c>
      <c r="H69" s="12" t="n">
        <v>3</v>
      </c>
      <c r="I69" s="12" t="n">
        <v>4</v>
      </c>
      <c r="J69" s="13" t="n">
        <f aca="false">IF(OR(H69="",I69=""),"",H69*I69)</f>
        <v>12</v>
      </c>
      <c r="K69" s="14" t="str">
        <f aca="false">IF(J69="","",IF(J69&gt;=Scoring!$B$24,"Critical",IF(J69&gt;=Scoring!$B$23,"High",IF(J69&gt;=Scoring!$B$22,"Medium","Low"))))</f>
        <v>High</v>
      </c>
      <c r="L69" s="11" t="s">
        <v>667</v>
      </c>
      <c r="M69" s="11" t="s">
        <v>668</v>
      </c>
      <c r="N69" s="9" t="s">
        <v>83</v>
      </c>
      <c r="O69" s="12" t="n">
        <v>2</v>
      </c>
      <c r="P69" s="12" t="n">
        <v>3</v>
      </c>
      <c r="Q69" s="13" t="n">
        <f aca="false">IF(OR(O69="",P69=""),"",O69*P69)</f>
        <v>6</v>
      </c>
      <c r="R69" s="14" t="str">
        <f aca="false">IF(Q69="","",IF(Q69&gt;=Scoring!$B$24,"Critical",IF(Q69&gt;=Scoring!$B$23,"High",IF(Q69&gt;=Scoring!$B$22,"Medium","Low"))))</f>
        <v>Medium</v>
      </c>
      <c r="S69" s="14" t="str">
        <f aca="false">IF(Q69="","",IF(Q69&lt;=Scoring!$B$27,"Yes","No"))</f>
        <v>Yes</v>
      </c>
      <c r="T69" s="9" t="s">
        <v>84</v>
      </c>
      <c r="U69" s="11" t="s">
        <v>669</v>
      </c>
      <c r="V69" s="11" t="s">
        <v>487</v>
      </c>
      <c r="W69" s="10" t="n">
        <v>46387</v>
      </c>
      <c r="X69" s="9" t="s">
        <v>99</v>
      </c>
      <c r="Y69" s="11" t="s">
        <v>670</v>
      </c>
      <c r="Z69" s="10" t="n">
        <v>46264</v>
      </c>
      <c r="AA69" s="15" t="n">
        <f aca="false">IF(OR(Z69="",R69=""),"",Z69+INDEX(Scoring!$E$21:$E$24,MATCH(R69,Scoring!$A$21:$A$24,0)))</f>
        <v>46444</v>
      </c>
      <c r="AB69" s="16" t="n">
        <f aca="false">IF(Q69="","",Q69+(1000-ROW())/100000)</f>
        <v>6.00931</v>
      </c>
    </row>
    <row r="70" customFormat="false" ht="99.75" hidden="false" customHeight="true" outlineLevel="0" collapsed="false">
      <c r="A70" s="9" t="s">
        <v>671</v>
      </c>
      <c r="B70" s="10" t="n">
        <v>46252</v>
      </c>
      <c r="C70" s="11" t="s">
        <v>605</v>
      </c>
      <c r="D70" s="11" t="s">
        <v>672</v>
      </c>
      <c r="E70" s="11" t="s">
        <v>673</v>
      </c>
      <c r="F70" s="11" t="s">
        <v>674</v>
      </c>
      <c r="G70" s="11" t="s">
        <v>469</v>
      </c>
      <c r="H70" s="12" t="n">
        <v>4</v>
      </c>
      <c r="I70" s="12" t="n">
        <v>3</v>
      </c>
      <c r="J70" s="13" t="n">
        <f aca="false">IF(OR(H70="",I70=""),"",H70*I70)</f>
        <v>12</v>
      </c>
      <c r="K70" s="14" t="str">
        <f aca="false">IF(J70="","",IF(J70&gt;=Scoring!$B$24,"Critical",IF(J70&gt;=Scoring!$B$23,"High",IF(J70&gt;=Scoring!$B$22,"Medium","Low"))))</f>
        <v>High</v>
      </c>
      <c r="L70" s="11" t="s">
        <v>675</v>
      </c>
      <c r="M70" s="11" t="s">
        <v>676</v>
      </c>
      <c r="N70" s="9" t="s">
        <v>117</v>
      </c>
      <c r="O70" s="12" t="n">
        <v>3</v>
      </c>
      <c r="P70" s="12" t="n">
        <v>2</v>
      </c>
      <c r="Q70" s="13" t="n">
        <f aca="false">IF(OR(O70="",P70=""),"",O70*P70)</f>
        <v>6</v>
      </c>
      <c r="R70" s="14" t="str">
        <f aca="false">IF(Q70="","",IF(Q70&gt;=Scoring!$B$24,"Critical",IF(Q70&gt;=Scoring!$B$23,"High",IF(Q70&gt;=Scoring!$B$22,"Medium","Low"))))</f>
        <v>Medium</v>
      </c>
      <c r="S70" s="14" t="str">
        <f aca="false">IF(Q70="","",IF(Q70&lt;=Scoring!$B$27,"Yes","No"))</f>
        <v>Yes</v>
      </c>
      <c r="T70" s="9" t="s">
        <v>84</v>
      </c>
      <c r="U70" s="11" t="s">
        <v>677</v>
      </c>
      <c r="V70" s="11" t="s">
        <v>678</v>
      </c>
      <c r="W70" s="10" t="n">
        <v>46507</v>
      </c>
      <c r="X70" s="9" t="s">
        <v>99</v>
      </c>
      <c r="Y70" s="11" t="s">
        <v>679</v>
      </c>
      <c r="Z70" s="10" t="n">
        <v>46271</v>
      </c>
      <c r="AA70" s="15" t="n">
        <f aca="false">IF(OR(Z70="",R70=""),"",Z70+INDEX(Scoring!$E$21:$E$24,MATCH(R70,Scoring!$A$21:$A$24,0)))</f>
        <v>46451</v>
      </c>
      <c r="AB70" s="16" t="n">
        <f aca="false">IF(Q70="","",Q70+(1000-ROW())/100000)</f>
        <v>6.0093</v>
      </c>
    </row>
    <row r="71" customFormat="false" ht="99.75" hidden="false" customHeight="true" outlineLevel="0" collapsed="false">
      <c r="A71" s="9" t="s">
        <v>680</v>
      </c>
      <c r="B71" s="10" t="n">
        <v>46257</v>
      </c>
      <c r="C71" s="11" t="s">
        <v>194</v>
      </c>
      <c r="D71" s="11" t="s">
        <v>681</v>
      </c>
      <c r="E71" s="11" t="s">
        <v>682</v>
      </c>
      <c r="F71" s="11" t="s">
        <v>683</v>
      </c>
      <c r="G71" s="11" t="s">
        <v>80</v>
      </c>
      <c r="H71" s="12" t="n">
        <v>3</v>
      </c>
      <c r="I71" s="12" t="n">
        <v>4</v>
      </c>
      <c r="J71" s="13" t="n">
        <f aca="false">IF(OR(H71="",I71=""),"",H71*I71)</f>
        <v>12</v>
      </c>
      <c r="K71" s="14" t="str">
        <f aca="false">IF(J71="","",IF(J71&gt;=Scoring!$B$24,"Critical",IF(J71&gt;=Scoring!$B$23,"High",IF(J71&gt;=Scoring!$B$22,"Medium","Low"))))</f>
        <v>High</v>
      </c>
      <c r="L71" s="11" t="s">
        <v>684</v>
      </c>
      <c r="M71" s="11" t="s">
        <v>685</v>
      </c>
      <c r="N71" s="9" t="s">
        <v>83</v>
      </c>
      <c r="O71" s="12" t="n">
        <v>3</v>
      </c>
      <c r="P71" s="12" t="n">
        <v>3</v>
      </c>
      <c r="Q71" s="13" t="n">
        <f aca="false">IF(OR(O71="",P71=""),"",O71*P71)</f>
        <v>9</v>
      </c>
      <c r="R71" s="14" t="str">
        <f aca="false">IF(Q71="","",IF(Q71&gt;=Scoring!$B$24,"Critical",IF(Q71&gt;=Scoring!$B$23,"High",IF(Q71&gt;=Scoring!$B$22,"Medium","Low"))))</f>
        <v>Medium</v>
      </c>
      <c r="S71" s="14" t="str">
        <f aca="false">IF(Q71="","",IF(Q71&lt;=Scoring!$B$27,"Yes","No"))</f>
        <v>Yes</v>
      </c>
      <c r="T71" s="9" t="s">
        <v>96</v>
      </c>
      <c r="U71" s="11" t="s">
        <v>686</v>
      </c>
      <c r="V71" s="11" t="s">
        <v>687</v>
      </c>
      <c r="W71" s="10" t="n">
        <v>46446</v>
      </c>
      <c r="X71" s="9" t="s">
        <v>99</v>
      </c>
      <c r="Y71" s="11" t="s">
        <v>688</v>
      </c>
      <c r="Z71" s="10" t="n">
        <v>46278</v>
      </c>
      <c r="AA71" s="15" t="n">
        <f aca="false">IF(OR(Z71="",R71=""),"",Z71+INDEX(Scoring!$E$21:$E$24,MATCH(R71,Scoring!$A$21:$A$24,0)))</f>
        <v>46458</v>
      </c>
      <c r="AB71" s="16" t="n">
        <f aca="false">IF(Q71="","",Q71+(1000-ROW())/100000)</f>
        <v>9.00929</v>
      </c>
    </row>
    <row r="72" customFormat="false" ht="99.75" hidden="false" customHeight="true" outlineLevel="0" collapsed="false">
      <c r="A72" s="9" t="s">
        <v>689</v>
      </c>
      <c r="B72" s="10" t="n">
        <v>46262</v>
      </c>
      <c r="C72" s="11" t="s">
        <v>194</v>
      </c>
      <c r="D72" s="11" t="s">
        <v>690</v>
      </c>
      <c r="E72" s="11" t="s">
        <v>691</v>
      </c>
      <c r="F72" s="11" t="s">
        <v>692</v>
      </c>
      <c r="G72" s="11" t="s">
        <v>156</v>
      </c>
      <c r="H72" s="12" t="n">
        <v>3</v>
      </c>
      <c r="I72" s="12" t="n">
        <v>5</v>
      </c>
      <c r="J72" s="13" t="n">
        <f aca="false">IF(OR(H72="",I72=""),"",H72*I72)</f>
        <v>15</v>
      </c>
      <c r="K72" s="14" t="str">
        <f aca="false">IF(J72="","",IF(J72&gt;=Scoring!$B$24,"Critical",IF(J72&gt;=Scoring!$B$23,"High",IF(J72&gt;=Scoring!$B$22,"Medium","Low"))))</f>
        <v>Critical</v>
      </c>
      <c r="L72" s="11" t="s">
        <v>693</v>
      </c>
      <c r="M72" s="11" t="s">
        <v>694</v>
      </c>
      <c r="N72" s="9" t="s">
        <v>83</v>
      </c>
      <c r="O72" s="12" t="n">
        <v>3</v>
      </c>
      <c r="P72" s="12" t="n">
        <v>4</v>
      </c>
      <c r="Q72" s="13" t="n">
        <f aca="false">IF(OR(O72="",P72=""),"",O72*P72)</f>
        <v>12</v>
      </c>
      <c r="R72" s="14" t="str">
        <f aca="false">IF(Q72="","",IF(Q72&gt;=Scoring!$B$24,"Critical",IF(Q72&gt;=Scoring!$B$23,"High",IF(Q72&gt;=Scoring!$B$22,"Medium","Low"))))</f>
        <v>High</v>
      </c>
      <c r="S72" s="14" t="str">
        <f aca="false">IF(Q72="","",IF(Q72&lt;=Scoring!$B$27,"Yes","No"))</f>
        <v>No</v>
      </c>
      <c r="T72" s="9" t="s">
        <v>84</v>
      </c>
      <c r="U72" s="11" t="s">
        <v>695</v>
      </c>
      <c r="V72" s="11" t="s">
        <v>687</v>
      </c>
      <c r="W72" s="10" t="n">
        <v>46477</v>
      </c>
      <c r="X72" s="9" t="s">
        <v>99</v>
      </c>
      <c r="Y72" s="11" t="s">
        <v>696</v>
      </c>
      <c r="Z72" s="10" t="n">
        <v>46285</v>
      </c>
      <c r="AA72" s="15" t="n">
        <f aca="false">IF(OR(Z72="",R72=""),"",Z72+INDEX(Scoring!$E$21:$E$24,MATCH(R72,Scoring!$A$21:$A$24,0)))</f>
        <v>46375</v>
      </c>
      <c r="AB72" s="16" t="n">
        <f aca="false">IF(Q72="","",Q72+(1000-ROW())/100000)</f>
        <v>12.00928</v>
      </c>
    </row>
    <row r="73" customFormat="false" ht="99.75" hidden="false" customHeight="true" outlineLevel="0" collapsed="false">
      <c r="A73" s="9" t="s">
        <v>697</v>
      </c>
      <c r="B73" s="10" t="n">
        <v>46267</v>
      </c>
      <c r="C73" s="11" t="s">
        <v>194</v>
      </c>
      <c r="D73" s="11" t="s">
        <v>698</v>
      </c>
      <c r="E73" s="11" t="s">
        <v>699</v>
      </c>
      <c r="F73" s="11" t="s">
        <v>700</v>
      </c>
      <c r="G73" s="11" t="s">
        <v>201</v>
      </c>
      <c r="H73" s="12" t="n">
        <v>4</v>
      </c>
      <c r="I73" s="12" t="n">
        <v>4</v>
      </c>
      <c r="J73" s="13" t="n">
        <f aca="false">IF(OR(H73="",I73=""),"",H73*I73)</f>
        <v>16</v>
      </c>
      <c r="K73" s="14" t="str">
        <f aca="false">IF(J73="","",IF(J73&gt;=Scoring!$B$24,"Critical",IF(J73&gt;=Scoring!$B$23,"High",IF(J73&gt;=Scoring!$B$22,"Medium","Low"))))</f>
        <v>Critical</v>
      </c>
      <c r="L73" s="11" t="s">
        <v>701</v>
      </c>
      <c r="M73" s="11" t="s">
        <v>702</v>
      </c>
      <c r="N73" s="9" t="s">
        <v>117</v>
      </c>
      <c r="O73" s="12" t="n">
        <v>3</v>
      </c>
      <c r="P73" s="12" t="n">
        <v>4</v>
      </c>
      <c r="Q73" s="13" t="n">
        <f aca="false">IF(OR(O73="",P73=""),"",O73*P73)</f>
        <v>12</v>
      </c>
      <c r="R73" s="14" t="str">
        <f aca="false">IF(Q73="","",IF(Q73&gt;=Scoring!$B$24,"Critical",IF(Q73&gt;=Scoring!$B$23,"High",IF(Q73&gt;=Scoring!$B$22,"Medium","Low"))))</f>
        <v>High</v>
      </c>
      <c r="S73" s="14" t="str">
        <f aca="false">IF(Q73="","",IF(Q73&lt;=Scoring!$B$27,"Yes","No"))</f>
        <v>No</v>
      </c>
      <c r="T73" s="9" t="s">
        <v>84</v>
      </c>
      <c r="U73" s="11" t="s">
        <v>703</v>
      </c>
      <c r="V73" s="11" t="s">
        <v>704</v>
      </c>
      <c r="W73" s="10" t="n">
        <v>46446</v>
      </c>
      <c r="X73" s="9" t="s">
        <v>87</v>
      </c>
      <c r="Y73" s="11" t="s">
        <v>705</v>
      </c>
      <c r="Z73" s="10" t="n">
        <v>46292</v>
      </c>
      <c r="AA73" s="15" t="n">
        <f aca="false">IF(OR(Z73="",R73=""),"",Z73+INDEX(Scoring!$E$21:$E$24,MATCH(R73,Scoring!$A$21:$A$24,0)))</f>
        <v>46382</v>
      </c>
      <c r="AB73" s="16" t="n">
        <f aca="false">IF(Q73="","",Q73+(1000-ROW())/100000)</f>
        <v>12.00927</v>
      </c>
    </row>
    <row r="74" customFormat="false" ht="99.75" hidden="false" customHeight="true" outlineLevel="0" collapsed="false">
      <c r="A74" s="9" t="s">
        <v>706</v>
      </c>
      <c r="B74" s="10" t="n">
        <v>46272</v>
      </c>
      <c r="C74" s="11" t="s">
        <v>194</v>
      </c>
      <c r="D74" s="11" t="s">
        <v>707</v>
      </c>
      <c r="E74" s="11" t="s">
        <v>708</v>
      </c>
      <c r="F74" s="11" t="s">
        <v>709</v>
      </c>
      <c r="G74" s="11" t="s">
        <v>93</v>
      </c>
      <c r="H74" s="12" t="n">
        <v>4</v>
      </c>
      <c r="I74" s="12" t="n">
        <v>4</v>
      </c>
      <c r="J74" s="13" t="n">
        <f aca="false">IF(OR(H74="",I74=""),"",H74*I74)</f>
        <v>16</v>
      </c>
      <c r="K74" s="14" t="str">
        <f aca="false">IF(J74="","",IF(J74&gt;=Scoring!$B$24,"Critical",IF(J74&gt;=Scoring!$B$23,"High",IF(J74&gt;=Scoring!$B$22,"Medium","Low"))))</f>
        <v>Critical</v>
      </c>
      <c r="L74" s="11" t="s">
        <v>710</v>
      </c>
      <c r="M74" s="11" t="s">
        <v>711</v>
      </c>
      <c r="N74" s="9" t="s">
        <v>117</v>
      </c>
      <c r="O74" s="12" t="n">
        <v>4</v>
      </c>
      <c r="P74" s="12" t="n">
        <v>3</v>
      </c>
      <c r="Q74" s="13" t="n">
        <f aca="false">IF(OR(O74="",P74=""),"",O74*P74)</f>
        <v>12</v>
      </c>
      <c r="R74" s="14" t="str">
        <f aca="false">IF(Q74="","",IF(Q74&gt;=Scoring!$B$24,"Critical",IF(Q74&gt;=Scoring!$B$23,"High",IF(Q74&gt;=Scoring!$B$22,"Medium","Low"))))</f>
        <v>High</v>
      </c>
      <c r="S74" s="14" t="str">
        <f aca="false">IF(Q74="","",IF(Q74&lt;=Scoring!$B$27,"Yes","No"))</f>
        <v>No</v>
      </c>
      <c r="T74" s="9" t="s">
        <v>84</v>
      </c>
      <c r="U74" s="11" t="s">
        <v>712</v>
      </c>
      <c r="V74" s="11" t="s">
        <v>713</v>
      </c>
      <c r="W74" s="10" t="n">
        <v>46843</v>
      </c>
      <c r="X74" s="9" t="s">
        <v>99</v>
      </c>
      <c r="Y74" s="11" t="s">
        <v>714</v>
      </c>
      <c r="Z74" s="10" t="n">
        <v>46299</v>
      </c>
      <c r="AA74" s="15" t="n">
        <f aca="false">IF(OR(Z74="",R74=""),"",Z74+INDEX(Scoring!$E$21:$E$24,MATCH(R74,Scoring!$A$21:$A$24,0)))</f>
        <v>46389</v>
      </c>
      <c r="AB74" s="16" t="n">
        <f aca="false">IF(Q74="","",Q74+(1000-ROW())/100000)</f>
        <v>12.00926</v>
      </c>
    </row>
    <row r="75" customFormat="false" ht="99.75" hidden="false" customHeight="true" outlineLevel="0" collapsed="false">
      <c r="A75" s="9" t="s">
        <v>715</v>
      </c>
      <c r="B75" s="10" t="n">
        <v>46277</v>
      </c>
      <c r="C75" s="11" t="s">
        <v>194</v>
      </c>
      <c r="D75" s="11" t="s">
        <v>716</v>
      </c>
      <c r="E75" s="11" t="s">
        <v>717</v>
      </c>
      <c r="F75" s="11" t="s">
        <v>718</v>
      </c>
      <c r="G75" s="11" t="s">
        <v>201</v>
      </c>
      <c r="H75" s="12" t="n">
        <v>4</v>
      </c>
      <c r="I75" s="12" t="n">
        <v>3</v>
      </c>
      <c r="J75" s="13" t="n">
        <f aca="false">IF(OR(H75="",I75=""),"",H75*I75)</f>
        <v>12</v>
      </c>
      <c r="K75" s="14" t="str">
        <f aca="false">IF(J75="","",IF(J75&gt;=Scoring!$B$24,"Critical",IF(J75&gt;=Scoring!$B$23,"High",IF(J75&gt;=Scoring!$B$22,"Medium","Low"))))</f>
        <v>High</v>
      </c>
      <c r="L75" s="11" t="s">
        <v>719</v>
      </c>
      <c r="M75" s="11" t="s">
        <v>720</v>
      </c>
      <c r="N75" s="9" t="s">
        <v>117</v>
      </c>
      <c r="O75" s="12" t="n">
        <v>3</v>
      </c>
      <c r="P75" s="12" t="n">
        <v>2</v>
      </c>
      <c r="Q75" s="13" t="n">
        <f aca="false">IF(OR(O75="",P75=""),"",O75*P75)</f>
        <v>6</v>
      </c>
      <c r="R75" s="14" t="str">
        <f aca="false">IF(Q75="","",IF(Q75&gt;=Scoring!$B$24,"Critical",IF(Q75&gt;=Scoring!$B$23,"High",IF(Q75&gt;=Scoring!$B$22,"Medium","Low"))))</f>
        <v>Medium</v>
      </c>
      <c r="S75" s="14" t="str">
        <f aca="false">IF(Q75="","",IF(Q75&lt;=Scoring!$B$27,"Yes","No"))</f>
        <v>Yes</v>
      </c>
      <c r="T75" s="9" t="s">
        <v>84</v>
      </c>
      <c r="U75" s="11" t="s">
        <v>721</v>
      </c>
      <c r="V75" s="11" t="s">
        <v>704</v>
      </c>
      <c r="W75" s="10" t="n">
        <v>46356</v>
      </c>
      <c r="X75" s="9" t="s">
        <v>87</v>
      </c>
      <c r="Y75" s="11" t="s">
        <v>722</v>
      </c>
      <c r="Z75" s="10" t="n">
        <v>46306</v>
      </c>
      <c r="AA75" s="15" t="n">
        <f aca="false">IF(OR(Z75="",R75=""),"",Z75+INDEX(Scoring!$E$21:$E$24,MATCH(R75,Scoring!$A$21:$A$24,0)))</f>
        <v>46486</v>
      </c>
      <c r="AB75" s="16" t="n">
        <f aca="false">IF(Q75="","",Q75+(1000-ROW())/100000)</f>
        <v>6.00925</v>
      </c>
    </row>
    <row r="76" customFormat="false" ht="99.75" hidden="false" customHeight="true" outlineLevel="0" collapsed="false">
      <c r="A76" s="9" t="s">
        <v>723</v>
      </c>
      <c r="B76" s="10" t="n">
        <v>46282</v>
      </c>
      <c r="C76" s="11" t="s">
        <v>194</v>
      </c>
      <c r="D76" s="11" t="s">
        <v>724</v>
      </c>
      <c r="E76" s="11" t="s">
        <v>725</v>
      </c>
      <c r="F76" s="11" t="s">
        <v>726</v>
      </c>
      <c r="G76" s="11" t="s">
        <v>217</v>
      </c>
      <c r="H76" s="12" t="n">
        <v>3</v>
      </c>
      <c r="I76" s="12" t="n">
        <v>4</v>
      </c>
      <c r="J76" s="13" t="n">
        <f aca="false">IF(OR(H76="",I76=""),"",H76*I76)</f>
        <v>12</v>
      </c>
      <c r="K76" s="14" t="str">
        <f aca="false">IF(J76="","",IF(J76&gt;=Scoring!$B$24,"Critical",IF(J76&gt;=Scoring!$B$23,"High",IF(J76&gt;=Scoring!$B$22,"Medium","Low"))))</f>
        <v>High</v>
      </c>
      <c r="L76" s="11" t="s">
        <v>727</v>
      </c>
      <c r="M76" s="11" t="s">
        <v>728</v>
      </c>
      <c r="N76" s="9" t="s">
        <v>83</v>
      </c>
      <c r="O76" s="12" t="n">
        <v>2</v>
      </c>
      <c r="P76" s="12" t="n">
        <v>3</v>
      </c>
      <c r="Q76" s="13" t="n">
        <f aca="false">IF(OR(O76="",P76=""),"",O76*P76)</f>
        <v>6</v>
      </c>
      <c r="R76" s="14" t="str">
        <f aca="false">IF(Q76="","",IF(Q76&gt;=Scoring!$B$24,"Critical",IF(Q76&gt;=Scoring!$B$23,"High",IF(Q76&gt;=Scoring!$B$22,"Medium","Low"))))</f>
        <v>Medium</v>
      </c>
      <c r="S76" s="14" t="str">
        <f aca="false">IF(Q76="","",IF(Q76&lt;=Scoring!$B$27,"Yes","No"))</f>
        <v>Yes</v>
      </c>
      <c r="T76" s="9" t="s">
        <v>84</v>
      </c>
      <c r="U76" s="11" t="s">
        <v>729</v>
      </c>
      <c r="V76" s="11" t="s">
        <v>520</v>
      </c>
      <c r="W76" s="10" t="n">
        <v>46538</v>
      </c>
      <c r="X76" s="9" t="s">
        <v>99</v>
      </c>
      <c r="Y76" s="11" t="s">
        <v>730</v>
      </c>
      <c r="Z76" s="10" t="n">
        <v>46285</v>
      </c>
      <c r="AA76" s="15" t="n">
        <f aca="false">IF(OR(Z76="",R76=""),"",Z76+INDEX(Scoring!$E$21:$E$24,MATCH(R76,Scoring!$A$21:$A$24,0)))</f>
        <v>46465</v>
      </c>
      <c r="AB76" s="16" t="n">
        <f aca="false">IF(Q76="","",Q76+(1000-ROW())/100000)</f>
        <v>6.00924</v>
      </c>
    </row>
    <row r="77" customFormat="false" ht="99.75" hidden="false" customHeight="true" outlineLevel="0" collapsed="false">
      <c r="A77" s="9" t="s">
        <v>731</v>
      </c>
      <c r="B77" s="10" t="n">
        <v>46287</v>
      </c>
      <c r="C77" s="11" t="s">
        <v>194</v>
      </c>
      <c r="D77" s="11" t="s">
        <v>732</v>
      </c>
      <c r="E77" s="11" t="s">
        <v>733</v>
      </c>
      <c r="F77" s="11" t="s">
        <v>734</v>
      </c>
      <c r="G77" s="11" t="s">
        <v>80</v>
      </c>
      <c r="H77" s="12" t="n">
        <v>2</v>
      </c>
      <c r="I77" s="12" t="n">
        <v>4</v>
      </c>
      <c r="J77" s="13" t="n">
        <f aca="false">IF(OR(H77="",I77=""),"",H77*I77)</f>
        <v>8</v>
      </c>
      <c r="K77" s="14" t="str">
        <f aca="false">IF(J77="","",IF(J77&gt;=Scoring!$B$24,"Critical",IF(J77&gt;=Scoring!$B$23,"High",IF(J77&gt;=Scoring!$B$22,"Medium","Low"))))</f>
        <v>Medium</v>
      </c>
      <c r="L77" s="11" t="s">
        <v>735</v>
      </c>
      <c r="M77" s="11" t="s">
        <v>736</v>
      </c>
      <c r="N77" s="9" t="s">
        <v>83</v>
      </c>
      <c r="O77" s="12" t="n">
        <v>1</v>
      </c>
      <c r="P77" s="12" t="n">
        <v>4</v>
      </c>
      <c r="Q77" s="13" t="n">
        <f aca="false">IF(OR(O77="",P77=""),"",O77*P77)</f>
        <v>4</v>
      </c>
      <c r="R77" s="14" t="str">
        <f aca="false">IF(Q77="","",IF(Q77&gt;=Scoring!$B$24,"Critical",IF(Q77&gt;=Scoring!$B$23,"High",IF(Q77&gt;=Scoring!$B$22,"Medium","Low"))))</f>
        <v>Low</v>
      </c>
      <c r="S77" s="14" t="str">
        <f aca="false">IF(Q77="","",IF(Q77&lt;=Scoring!$B$27,"Yes","No"))</f>
        <v>Yes</v>
      </c>
      <c r="T77" s="9" t="s">
        <v>297</v>
      </c>
      <c r="U77" s="11" t="s">
        <v>737</v>
      </c>
      <c r="V77" s="11" t="s">
        <v>738</v>
      </c>
      <c r="W77" s="10"/>
      <c r="X77" s="9" t="s">
        <v>279</v>
      </c>
      <c r="Y77" s="11" t="s">
        <v>739</v>
      </c>
      <c r="Z77" s="10" t="n">
        <v>46290</v>
      </c>
      <c r="AA77" s="15" t="n">
        <f aca="false">IF(OR(Z77="",R77=""),"",Z77+INDEX(Scoring!$E$21:$E$24,MATCH(R77,Scoring!$A$21:$A$24,0)))</f>
        <v>46655</v>
      </c>
      <c r="AB77" s="16" t="n">
        <f aca="false">IF(Q77="","",Q77+(1000-ROW())/100000)</f>
        <v>4.00923</v>
      </c>
    </row>
    <row r="78" customFormat="false" ht="99.75" hidden="false" customHeight="true" outlineLevel="0" collapsed="false">
      <c r="A78" s="9" t="s">
        <v>740</v>
      </c>
      <c r="B78" s="10" t="n">
        <v>46292</v>
      </c>
      <c r="C78" s="11" t="s">
        <v>194</v>
      </c>
      <c r="D78" s="11" t="s">
        <v>741</v>
      </c>
      <c r="E78" s="11" t="s">
        <v>742</v>
      </c>
      <c r="F78" s="11" t="s">
        <v>743</v>
      </c>
      <c r="G78" s="11" t="s">
        <v>176</v>
      </c>
      <c r="H78" s="12" t="n">
        <v>3</v>
      </c>
      <c r="I78" s="12" t="n">
        <v>3</v>
      </c>
      <c r="J78" s="13" t="n">
        <f aca="false">IF(OR(H78="",I78=""),"",H78*I78)</f>
        <v>9</v>
      </c>
      <c r="K78" s="14" t="str">
        <f aca="false">IF(J78="","",IF(J78&gt;=Scoring!$B$24,"Critical",IF(J78&gt;=Scoring!$B$23,"High",IF(J78&gt;=Scoring!$B$22,"Medium","Low"))))</f>
        <v>Medium</v>
      </c>
      <c r="L78" s="11" t="s">
        <v>744</v>
      </c>
      <c r="M78" s="11" t="s">
        <v>745</v>
      </c>
      <c r="N78" s="9" t="s">
        <v>117</v>
      </c>
      <c r="O78" s="12" t="n">
        <v>2</v>
      </c>
      <c r="P78" s="12" t="n">
        <v>3</v>
      </c>
      <c r="Q78" s="13" t="n">
        <f aca="false">IF(OR(O78="",P78=""),"",O78*P78)</f>
        <v>6</v>
      </c>
      <c r="R78" s="14" t="str">
        <f aca="false">IF(Q78="","",IF(Q78&gt;=Scoring!$B$24,"Critical",IF(Q78&gt;=Scoring!$B$23,"High",IF(Q78&gt;=Scoring!$B$22,"Medium","Low"))))</f>
        <v>Medium</v>
      </c>
      <c r="S78" s="14" t="str">
        <f aca="false">IF(Q78="","",IF(Q78&lt;=Scoring!$B$27,"Yes","No"))</f>
        <v>Yes</v>
      </c>
      <c r="T78" s="9" t="s">
        <v>84</v>
      </c>
      <c r="U78" s="11" t="s">
        <v>746</v>
      </c>
      <c r="V78" s="11" t="s">
        <v>747</v>
      </c>
      <c r="W78" s="10" t="n">
        <v>46568</v>
      </c>
      <c r="X78" s="9" t="s">
        <v>99</v>
      </c>
      <c r="Y78" s="11" t="s">
        <v>748</v>
      </c>
      <c r="Z78" s="10" t="n">
        <v>46295</v>
      </c>
      <c r="AA78" s="15" t="n">
        <f aca="false">IF(OR(Z78="",R78=""),"",Z78+INDEX(Scoring!$E$21:$E$24,MATCH(R78,Scoring!$A$21:$A$24,0)))</f>
        <v>46475</v>
      </c>
      <c r="AB78" s="16" t="n">
        <f aca="false">IF(Q78="","",Q78+(1000-ROW())/100000)</f>
        <v>6.00922</v>
      </c>
    </row>
    <row r="79" customFormat="false" ht="99.75" hidden="false" customHeight="true" outlineLevel="0" collapsed="false">
      <c r="A79" s="9" t="s">
        <v>749</v>
      </c>
      <c r="B79" s="10" t="n">
        <v>46297</v>
      </c>
      <c r="C79" s="11" t="s">
        <v>194</v>
      </c>
      <c r="D79" s="11" t="s">
        <v>750</v>
      </c>
      <c r="E79" s="11" t="s">
        <v>751</v>
      </c>
      <c r="F79" s="11" t="s">
        <v>752</v>
      </c>
      <c r="G79" s="11" t="s">
        <v>80</v>
      </c>
      <c r="H79" s="12" t="n">
        <v>3</v>
      </c>
      <c r="I79" s="12" t="n">
        <v>3</v>
      </c>
      <c r="J79" s="13" t="n">
        <f aca="false">IF(OR(H79="",I79=""),"",H79*I79)</f>
        <v>9</v>
      </c>
      <c r="K79" s="14" t="str">
        <f aca="false">IF(J79="","",IF(J79&gt;=Scoring!$B$24,"Critical",IF(J79&gt;=Scoring!$B$23,"High",IF(J79&gt;=Scoring!$B$22,"Medium","Low"))))</f>
        <v>Medium</v>
      </c>
      <c r="L79" s="11" t="s">
        <v>753</v>
      </c>
      <c r="M79" s="11" t="s">
        <v>754</v>
      </c>
      <c r="N79" s="9" t="s">
        <v>117</v>
      </c>
      <c r="O79" s="12" t="n">
        <v>3</v>
      </c>
      <c r="P79" s="12" t="n">
        <v>2</v>
      </c>
      <c r="Q79" s="13" t="n">
        <f aca="false">IF(OR(O79="",P79=""),"",O79*P79)</f>
        <v>6</v>
      </c>
      <c r="R79" s="14" t="str">
        <f aca="false">IF(Q79="","",IF(Q79&gt;=Scoring!$B$24,"Critical",IF(Q79&gt;=Scoring!$B$23,"High",IF(Q79&gt;=Scoring!$B$22,"Medium","Low"))))</f>
        <v>Medium</v>
      </c>
      <c r="S79" s="14" t="str">
        <f aca="false">IF(Q79="","",IF(Q79&lt;=Scoring!$B$27,"Yes","No"))</f>
        <v>Yes</v>
      </c>
      <c r="T79" s="9" t="s">
        <v>84</v>
      </c>
      <c r="U79" s="11" t="s">
        <v>755</v>
      </c>
      <c r="V79" s="11" t="s">
        <v>687</v>
      </c>
      <c r="W79" s="10" t="n">
        <v>46507</v>
      </c>
      <c r="X79" s="9" t="s">
        <v>99</v>
      </c>
      <c r="Y79" s="11" t="s">
        <v>756</v>
      </c>
      <c r="Z79" s="10" t="n">
        <v>46300</v>
      </c>
      <c r="AA79" s="15" t="n">
        <f aca="false">IF(OR(Z79="",R79=""),"",Z79+INDEX(Scoring!$E$21:$E$24,MATCH(R79,Scoring!$A$21:$A$24,0)))</f>
        <v>46480</v>
      </c>
      <c r="AB79" s="16" t="n">
        <f aca="false">IF(Q79="","",Q79+(1000-ROW())/100000)</f>
        <v>6.00921</v>
      </c>
    </row>
    <row r="80" customFormat="false" ht="99.75" hidden="false" customHeight="true" outlineLevel="0" collapsed="false">
      <c r="A80" s="9" t="s">
        <v>757</v>
      </c>
      <c r="B80" s="10" t="n">
        <v>46302</v>
      </c>
      <c r="C80" s="11" t="s">
        <v>194</v>
      </c>
      <c r="D80" s="11" t="s">
        <v>758</v>
      </c>
      <c r="E80" s="11" t="s">
        <v>759</v>
      </c>
      <c r="F80" s="11" t="s">
        <v>760</v>
      </c>
      <c r="G80" s="11" t="s">
        <v>146</v>
      </c>
      <c r="H80" s="12" t="n">
        <v>3</v>
      </c>
      <c r="I80" s="12" t="n">
        <v>4</v>
      </c>
      <c r="J80" s="13" t="n">
        <f aca="false">IF(OR(H80="",I80=""),"",H80*I80)</f>
        <v>12</v>
      </c>
      <c r="K80" s="14" t="str">
        <f aca="false">IF(J80="","",IF(J80&gt;=Scoring!$B$24,"Critical",IF(J80&gt;=Scoring!$B$23,"High",IF(J80&gt;=Scoring!$B$22,"Medium","Low"))))</f>
        <v>High</v>
      </c>
      <c r="L80" s="11" t="s">
        <v>761</v>
      </c>
      <c r="M80" s="11" t="s">
        <v>762</v>
      </c>
      <c r="N80" s="9" t="s">
        <v>83</v>
      </c>
      <c r="O80" s="12" t="n">
        <v>2</v>
      </c>
      <c r="P80" s="12" t="n">
        <v>3</v>
      </c>
      <c r="Q80" s="13" t="n">
        <f aca="false">IF(OR(O80="",P80=""),"",O80*P80)</f>
        <v>6</v>
      </c>
      <c r="R80" s="14" t="str">
        <f aca="false">IF(Q80="","",IF(Q80&gt;=Scoring!$B$24,"Critical",IF(Q80&gt;=Scoring!$B$23,"High",IF(Q80&gt;=Scoring!$B$22,"Medium","Low"))))</f>
        <v>Medium</v>
      </c>
      <c r="S80" s="14" t="str">
        <f aca="false">IF(Q80="","",IF(Q80&lt;=Scoring!$B$27,"Yes","No"))</f>
        <v>Yes</v>
      </c>
      <c r="T80" s="9" t="s">
        <v>96</v>
      </c>
      <c r="U80" s="11" t="s">
        <v>763</v>
      </c>
      <c r="V80" s="11" t="s">
        <v>764</v>
      </c>
      <c r="W80" s="10" t="n">
        <v>46387</v>
      </c>
      <c r="X80" s="9" t="s">
        <v>99</v>
      </c>
      <c r="Y80" s="11" t="s">
        <v>765</v>
      </c>
      <c r="Z80" s="10" t="n">
        <v>46305</v>
      </c>
      <c r="AA80" s="15" t="n">
        <f aca="false">IF(OR(Z80="",R80=""),"",Z80+INDEX(Scoring!$E$21:$E$24,MATCH(R80,Scoring!$A$21:$A$24,0)))</f>
        <v>46485</v>
      </c>
      <c r="AB80" s="16" t="n">
        <f aca="false">IF(Q80="","",Q80+(1000-ROW())/100000)</f>
        <v>6.0092</v>
      </c>
    </row>
    <row r="81" customFormat="false" ht="19.5" hidden="false" customHeight="true" outlineLevel="0" collapsed="false">
      <c r="A81" s="13"/>
      <c r="B81" s="15"/>
      <c r="C81" s="17"/>
      <c r="D81" s="17"/>
      <c r="E81" s="17"/>
      <c r="F81" s="17"/>
      <c r="G81" s="17"/>
      <c r="H81" s="14"/>
      <c r="I81" s="14"/>
      <c r="J81" s="13" t="str">
        <f aca="false">IF(OR(H81="",I81=""),"",H81*I81)</f>
        <v/>
      </c>
      <c r="K81" s="14" t="str">
        <f aca="false">IF(J81="","",IF(J81&gt;=Scoring!$B$24,"Critical",IF(J81&gt;=Scoring!$B$23,"High",IF(J81&gt;=Scoring!$B$22,"Medium","Low"))))</f>
        <v/>
      </c>
      <c r="L81" s="17"/>
      <c r="M81" s="17"/>
      <c r="N81" s="14"/>
      <c r="O81" s="14"/>
      <c r="P81" s="14"/>
      <c r="Q81" s="13" t="str">
        <f aca="false">IF(OR(O81="",P81=""),"",O81*P81)</f>
        <v/>
      </c>
      <c r="R81" s="14" t="str">
        <f aca="false">IF(Q81="","",IF(Q81&gt;=Scoring!$B$24,"Critical",IF(Q81&gt;=Scoring!$B$23,"High",IF(Q81&gt;=Scoring!$B$22,"Medium","Low"))))</f>
        <v/>
      </c>
      <c r="S81" s="14" t="str">
        <f aca="false">IF(Q81="","",IF(Q81&lt;=Scoring!$B$27,"Yes","No"))</f>
        <v/>
      </c>
      <c r="T81" s="14"/>
      <c r="U81" s="17"/>
      <c r="V81" s="17"/>
      <c r="W81" s="15"/>
      <c r="X81" s="14"/>
      <c r="Y81" s="17"/>
      <c r="Z81" s="15"/>
      <c r="AA81" s="15" t="str">
        <f aca="false">IF(OR(Z81="",R81=""),"",Z81+INDEX(Scoring!$E$21:$E$24,MATCH(R81,Scoring!$A$21:$A$24,0)))</f>
        <v/>
      </c>
      <c r="AB81" s="16" t="str">
        <f aca="false">IF(Q81="","",Q81+(1000-ROW())/100000)</f>
        <v/>
      </c>
    </row>
    <row r="82" customFormat="false" ht="19.5" hidden="false" customHeight="true" outlineLevel="0" collapsed="false">
      <c r="A82" s="13"/>
      <c r="B82" s="15"/>
      <c r="C82" s="17"/>
      <c r="D82" s="17"/>
      <c r="E82" s="17"/>
      <c r="F82" s="17"/>
      <c r="G82" s="17"/>
      <c r="H82" s="14"/>
      <c r="I82" s="14"/>
      <c r="J82" s="13" t="str">
        <f aca="false">IF(OR(H82="",I82=""),"",H82*I82)</f>
        <v/>
      </c>
      <c r="K82" s="14" t="str">
        <f aca="false">IF(J82="","",IF(J82&gt;=Scoring!$B$24,"Critical",IF(J82&gt;=Scoring!$B$23,"High",IF(J82&gt;=Scoring!$B$22,"Medium","Low"))))</f>
        <v/>
      </c>
      <c r="L82" s="17"/>
      <c r="M82" s="17"/>
      <c r="N82" s="14"/>
      <c r="O82" s="14"/>
      <c r="P82" s="14"/>
      <c r="Q82" s="13" t="str">
        <f aca="false">IF(OR(O82="",P82=""),"",O82*P82)</f>
        <v/>
      </c>
      <c r="R82" s="14" t="str">
        <f aca="false">IF(Q82="","",IF(Q82&gt;=Scoring!$B$24,"Critical",IF(Q82&gt;=Scoring!$B$23,"High",IF(Q82&gt;=Scoring!$B$22,"Medium","Low"))))</f>
        <v/>
      </c>
      <c r="S82" s="14" t="str">
        <f aca="false">IF(Q82="","",IF(Q82&lt;=Scoring!$B$27,"Yes","No"))</f>
        <v/>
      </c>
      <c r="T82" s="14"/>
      <c r="U82" s="17"/>
      <c r="V82" s="17"/>
      <c r="W82" s="15"/>
      <c r="X82" s="14"/>
      <c r="Y82" s="17"/>
      <c r="Z82" s="15"/>
      <c r="AA82" s="15" t="str">
        <f aca="false">IF(OR(Z82="",R82=""),"",Z82+INDEX(Scoring!$E$21:$E$24,MATCH(R82,Scoring!$A$21:$A$24,0)))</f>
        <v/>
      </c>
      <c r="AB82" s="16" t="str">
        <f aca="false">IF(Q82="","",Q82+(1000-ROW())/100000)</f>
        <v/>
      </c>
    </row>
    <row r="83" customFormat="false" ht="19.5" hidden="false" customHeight="true" outlineLevel="0" collapsed="false">
      <c r="A83" s="13"/>
      <c r="B83" s="15"/>
      <c r="C83" s="17"/>
      <c r="D83" s="17"/>
      <c r="E83" s="17"/>
      <c r="F83" s="17"/>
      <c r="G83" s="17"/>
      <c r="H83" s="14"/>
      <c r="I83" s="14"/>
      <c r="J83" s="13" t="str">
        <f aca="false">IF(OR(H83="",I83=""),"",H83*I83)</f>
        <v/>
      </c>
      <c r="K83" s="14" t="str">
        <f aca="false">IF(J83="","",IF(J83&gt;=Scoring!$B$24,"Critical",IF(J83&gt;=Scoring!$B$23,"High",IF(J83&gt;=Scoring!$B$22,"Medium","Low"))))</f>
        <v/>
      </c>
      <c r="L83" s="17"/>
      <c r="M83" s="17"/>
      <c r="N83" s="14"/>
      <c r="O83" s="14"/>
      <c r="P83" s="14"/>
      <c r="Q83" s="13" t="str">
        <f aca="false">IF(OR(O83="",P83=""),"",O83*P83)</f>
        <v/>
      </c>
      <c r="R83" s="14" t="str">
        <f aca="false">IF(Q83="","",IF(Q83&gt;=Scoring!$B$24,"Critical",IF(Q83&gt;=Scoring!$B$23,"High",IF(Q83&gt;=Scoring!$B$22,"Medium","Low"))))</f>
        <v/>
      </c>
      <c r="S83" s="14" t="str">
        <f aca="false">IF(Q83="","",IF(Q83&lt;=Scoring!$B$27,"Yes","No"))</f>
        <v/>
      </c>
      <c r="T83" s="14"/>
      <c r="U83" s="17"/>
      <c r="V83" s="17"/>
      <c r="W83" s="15"/>
      <c r="X83" s="14"/>
      <c r="Y83" s="17"/>
      <c r="Z83" s="15"/>
      <c r="AA83" s="15" t="str">
        <f aca="false">IF(OR(Z83="",R83=""),"",Z83+INDEX(Scoring!$E$21:$E$24,MATCH(R83,Scoring!$A$21:$A$24,0)))</f>
        <v/>
      </c>
      <c r="AB83" s="16" t="str">
        <f aca="false">IF(Q83="","",Q83+(1000-ROW())/100000)</f>
        <v/>
      </c>
    </row>
    <row r="84" customFormat="false" ht="19.5" hidden="false" customHeight="true" outlineLevel="0" collapsed="false">
      <c r="A84" s="13"/>
      <c r="B84" s="15"/>
      <c r="C84" s="17"/>
      <c r="D84" s="17"/>
      <c r="E84" s="17"/>
      <c r="F84" s="17"/>
      <c r="G84" s="17"/>
      <c r="H84" s="14"/>
      <c r="I84" s="14"/>
      <c r="J84" s="13" t="str">
        <f aca="false">IF(OR(H84="",I84=""),"",H84*I84)</f>
        <v/>
      </c>
      <c r="K84" s="14" t="str">
        <f aca="false">IF(J84="","",IF(J84&gt;=Scoring!$B$24,"Critical",IF(J84&gt;=Scoring!$B$23,"High",IF(J84&gt;=Scoring!$B$22,"Medium","Low"))))</f>
        <v/>
      </c>
      <c r="L84" s="17"/>
      <c r="M84" s="17"/>
      <c r="N84" s="14"/>
      <c r="O84" s="14"/>
      <c r="P84" s="14"/>
      <c r="Q84" s="13" t="str">
        <f aca="false">IF(OR(O84="",P84=""),"",O84*P84)</f>
        <v/>
      </c>
      <c r="R84" s="14" t="str">
        <f aca="false">IF(Q84="","",IF(Q84&gt;=Scoring!$B$24,"Critical",IF(Q84&gt;=Scoring!$B$23,"High",IF(Q84&gt;=Scoring!$B$22,"Medium","Low"))))</f>
        <v/>
      </c>
      <c r="S84" s="14" t="str">
        <f aca="false">IF(Q84="","",IF(Q84&lt;=Scoring!$B$27,"Yes","No"))</f>
        <v/>
      </c>
      <c r="T84" s="14"/>
      <c r="U84" s="17"/>
      <c r="V84" s="17"/>
      <c r="W84" s="15"/>
      <c r="X84" s="14"/>
      <c r="Y84" s="17"/>
      <c r="Z84" s="15"/>
      <c r="AA84" s="15" t="str">
        <f aca="false">IF(OR(Z84="",R84=""),"",Z84+INDEX(Scoring!$E$21:$E$24,MATCH(R84,Scoring!$A$21:$A$24,0)))</f>
        <v/>
      </c>
      <c r="AB84" s="16" t="str">
        <f aca="false">IF(Q84="","",Q84+(1000-ROW())/100000)</f>
        <v/>
      </c>
    </row>
    <row r="85" customFormat="false" ht="19.5" hidden="false" customHeight="true" outlineLevel="0" collapsed="false">
      <c r="A85" s="13"/>
      <c r="B85" s="15"/>
      <c r="C85" s="17"/>
      <c r="D85" s="17"/>
      <c r="E85" s="17"/>
      <c r="F85" s="17"/>
      <c r="G85" s="17"/>
      <c r="H85" s="14"/>
      <c r="I85" s="14"/>
      <c r="J85" s="13" t="str">
        <f aca="false">IF(OR(H85="",I85=""),"",H85*I85)</f>
        <v/>
      </c>
      <c r="K85" s="14" t="str">
        <f aca="false">IF(J85="","",IF(J85&gt;=Scoring!$B$24,"Critical",IF(J85&gt;=Scoring!$B$23,"High",IF(J85&gt;=Scoring!$B$22,"Medium","Low"))))</f>
        <v/>
      </c>
      <c r="L85" s="17"/>
      <c r="M85" s="17"/>
      <c r="N85" s="14"/>
      <c r="O85" s="14"/>
      <c r="P85" s="14"/>
      <c r="Q85" s="13" t="str">
        <f aca="false">IF(OR(O85="",P85=""),"",O85*P85)</f>
        <v/>
      </c>
      <c r="R85" s="14" t="str">
        <f aca="false">IF(Q85="","",IF(Q85&gt;=Scoring!$B$24,"Critical",IF(Q85&gt;=Scoring!$B$23,"High",IF(Q85&gt;=Scoring!$B$22,"Medium","Low"))))</f>
        <v/>
      </c>
      <c r="S85" s="14" t="str">
        <f aca="false">IF(Q85="","",IF(Q85&lt;=Scoring!$B$27,"Yes","No"))</f>
        <v/>
      </c>
      <c r="T85" s="14"/>
      <c r="U85" s="17"/>
      <c r="V85" s="17"/>
      <c r="W85" s="15"/>
      <c r="X85" s="14"/>
      <c r="Y85" s="17"/>
      <c r="Z85" s="15"/>
      <c r="AA85" s="15" t="str">
        <f aca="false">IF(OR(Z85="",R85=""),"",Z85+INDEX(Scoring!$E$21:$E$24,MATCH(R85,Scoring!$A$21:$A$24,0)))</f>
        <v/>
      </c>
      <c r="AB85" s="16" t="str">
        <f aca="false">IF(Q85="","",Q85+(1000-ROW())/100000)</f>
        <v/>
      </c>
    </row>
    <row r="86" customFormat="false" ht="19.5" hidden="false" customHeight="true" outlineLevel="0" collapsed="false">
      <c r="A86" s="13"/>
      <c r="B86" s="15"/>
      <c r="C86" s="17"/>
      <c r="D86" s="17"/>
      <c r="E86" s="17"/>
      <c r="F86" s="17"/>
      <c r="G86" s="17"/>
      <c r="H86" s="14"/>
      <c r="I86" s="14"/>
      <c r="J86" s="13" t="str">
        <f aca="false">IF(OR(H86="",I86=""),"",H86*I86)</f>
        <v/>
      </c>
      <c r="K86" s="14" t="str">
        <f aca="false">IF(J86="","",IF(J86&gt;=Scoring!$B$24,"Critical",IF(J86&gt;=Scoring!$B$23,"High",IF(J86&gt;=Scoring!$B$22,"Medium","Low"))))</f>
        <v/>
      </c>
      <c r="L86" s="17"/>
      <c r="M86" s="17"/>
      <c r="N86" s="14"/>
      <c r="O86" s="14"/>
      <c r="P86" s="14"/>
      <c r="Q86" s="13" t="str">
        <f aca="false">IF(OR(O86="",P86=""),"",O86*P86)</f>
        <v/>
      </c>
      <c r="R86" s="14" t="str">
        <f aca="false">IF(Q86="","",IF(Q86&gt;=Scoring!$B$24,"Critical",IF(Q86&gt;=Scoring!$B$23,"High",IF(Q86&gt;=Scoring!$B$22,"Medium","Low"))))</f>
        <v/>
      </c>
      <c r="S86" s="14" t="str">
        <f aca="false">IF(Q86="","",IF(Q86&lt;=Scoring!$B$27,"Yes","No"))</f>
        <v/>
      </c>
      <c r="T86" s="14"/>
      <c r="U86" s="17"/>
      <c r="V86" s="17"/>
      <c r="W86" s="15"/>
      <c r="X86" s="14"/>
      <c r="Y86" s="17"/>
      <c r="Z86" s="15"/>
      <c r="AA86" s="15" t="str">
        <f aca="false">IF(OR(Z86="",R86=""),"",Z86+INDEX(Scoring!$E$21:$E$24,MATCH(R86,Scoring!$A$21:$A$24,0)))</f>
        <v/>
      </c>
      <c r="AB86" s="16" t="str">
        <f aca="false">IF(Q86="","",Q86+(1000-ROW())/100000)</f>
        <v/>
      </c>
    </row>
    <row r="87" customFormat="false" ht="19.5" hidden="false" customHeight="true" outlineLevel="0" collapsed="false">
      <c r="A87" s="13"/>
      <c r="B87" s="15"/>
      <c r="C87" s="17"/>
      <c r="D87" s="17"/>
      <c r="E87" s="17"/>
      <c r="F87" s="17"/>
      <c r="G87" s="17"/>
      <c r="H87" s="14"/>
      <c r="I87" s="14"/>
      <c r="J87" s="13" t="str">
        <f aca="false">IF(OR(H87="",I87=""),"",H87*I87)</f>
        <v/>
      </c>
      <c r="K87" s="14" t="str">
        <f aca="false">IF(J87="","",IF(J87&gt;=Scoring!$B$24,"Critical",IF(J87&gt;=Scoring!$B$23,"High",IF(J87&gt;=Scoring!$B$22,"Medium","Low"))))</f>
        <v/>
      </c>
      <c r="L87" s="17"/>
      <c r="M87" s="17"/>
      <c r="N87" s="14"/>
      <c r="O87" s="14"/>
      <c r="P87" s="14"/>
      <c r="Q87" s="13" t="str">
        <f aca="false">IF(OR(O87="",P87=""),"",O87*P87)</f>
        <v/>
      </c>
      <c r="R87" s="14" t="str">
        <f aca="false">IF(Q87="","",IF(Q87&gt;=Scoring!$B$24,"Critical",IF(Q87&gt;=Scoring!$B$23,"High",IF(Q87&gt;=Scoring!$B$22,"Medium","Low"))))</f>
        <v/>
      </c>
      <c r="S87" s="14" t="str">
        <f aca="false">IF(Q87="","",IF(Q87&lt;=Scoring!$B$27,"Yes","No"))</f>
        <v/>
      </c>
      <c r="T87" s="14"/>
      <c r="U87" s="17"/>
      <c r="V87" s="17"/>
      <c r="W87" s="15"/>
      <c r="X87" s="14"/>
      <c r="Y87" s="17"/>
      <c r="Z87" s="15"/>
      <c r="AA87" s="15" t="str">
        <f aca="false">IF(OR(Z87="",R87=""),"",Z87+INDEX(Scoring!$E$21:$E$24,MATCH(R87,Scoring!$A$21:$A$24,0)))</f>
        <v/>
      </c>
      <c r="AB87" s="16" t="str">
        <f aca="false">IF(Q87="","",Q87+(1000-ROW())/100000)</f>
        <v/>
      </c>
    </row>
    <row r="88" customFormat="false" ht="19.5" hidden="false" customHeight="true" outlineLevel="0" collapsed="false">
      <c r="A88" s="13"/>
      <c r="B88" s="15"/>
      <c r="C88" s="17"/>
      <c r="D88" s="17"/>
      <c r="E88" s="17"/>
      <c r="F88" s="17"/>
      <c r="G88" s="17"/>
      <c r="H88" s="14"/>
      <c r="I88" s="14"/>
      <c r="J88" s="13" t="str">
        <f aca="false">IF(OR(H88="",I88=""),"",H88*I88)</f>
        <v/>
      </c>
      <c r="K88" s="14" t="str">
        <f aca="false">IF(J88="","",IF(J88&gt;=Scoring!$B$24,"Critical",IF(J88&gt;=Scoring!$B$23,"High",IF(J88&gt;=Scoring!$B$22,"Medium","Low"))))</f>
        <v/>
      </c>
      <c r="L88" s="17"/>
      <c r="M88" s="17"/>
      <c r="N88" s="14"/>
      <c r="O88" s="14"/>
      <c r="P88" s="14"/>
      <c r="Q88" s="13" t="str">
        <f aca="false">IF(OR(O88="",P88=""),"",O88*P88)</f>
        <v/>
      </c>
      <c r="R88" s="14" t="str">
        <f aca="false">IF(Q88="","",IF(Q88&gt;=Scoring!$B$24,"Critical",IF(Q88&gt;=Scoring!$B$23,"High",IF(Q88&gt;=Scoring!$B$22,"Medium","Low"))))</f>
        <v/>
      </c>
      <c r="S88" s="14" t="str">
        <f aca="false">IF(Q88="","",IF(Q88&lt;=Scoring!$B$27,"Yes","No"))</f>
        <v/>
      </c>
      <c r="T88" s="14"/>
      <c r="U88" s="17"/>
      <c r="V88" s="17"/>
      <c r="W88" s="15"/>
      <c r="X88" s="14"/>
      <c r="Y88" s="17"/>
      <c r="Z88" s="15"/>
      <c r="AA88" s="15" t="str">
        <f aca="false">IF(OR(Z88="",R88=""),"",Z88+INDEX(Scoring!$E$21:$E$24,MATCH(R88,Scoring!$A$21:$A$24,0)))</f>
        <v/>
      </c>
      <c r="AB88" s="16" t="str">
        <f aca="false">IF(Q88="","",Q88+(1000-ROW())/100000)</f>
        <v/>
      </c>
    </row>
    <row r="89" customFormat="false" ht="19.5" hidden="false" customHeight="true" outlineLevel="0" collapsed="false">
      <c r="A89" s="13"/>
      <c r="B89" s="15"/>
      <c r="C89" s="17"/>
      <c r="D89" s="17"/>
      <c r="E89" s="17"/>
      <c r="F89" s="17"/>
      <c r="G89" s="17"/>
      <c r="H89" s="14"/>
      <c r="I89" s="14"/>
      <c r="J89" s="13" t="str">
        <f aca="false">IF(OR(H89="",I89=""),"",H89*I89)</f>
        <v/>
      </c>
      <c r="K89" s="14" t="str">
        <f aca="false">IF(J89="","",IF(J89&gt;=Scoring!$B$24,"Critical",IF(J89&gt;=Scoring!$B$23,"High",IF(J89&gt;=Scoring!$B$22,"Medium","Low"))))</f>
        <v/>
      </c>
      <c r="L89" s="17"/>
      <c r="M89" s="17"/>
      <c r="N89" s="14"/>
      <c r="O89" s="14"/>
      <c r="P89" s="14"/>
      <c r="Q89" s="13" t="str">
        <f aca="false">IF(OR(O89="",P89=""),"",O89*P89)</f>
        <v/>
      </c>
      <c r="R89" s="14" t="str">
        <f aca="false">IF(Q89="","",IF(Q89&gt;=Scoring!$B$24,"Critical",IF(Q89&gt;=Scoring!$B$23,"High",IF(Q89&gt;=Scoring!$B$22,"Medium","Low"))))</f>
        <v/>
      </c>
      <c r="S89" s="14" t="str">
        <f aca="false">IF(Q89="","",IF(Q89&lt;=Scoring!$B$27,"Yes","No"))</f>
        <v/>
      </c>
      <c r="T89" s="14"/>
      <c r="U89" s="17"/>
      <c r="V89" s="17"/>
      <c r="W89" s="15"/>
      <c r="X89" s="14"/>
      <c r="Y89" s="17"/>
      <c r="Z89" s="15"/>
      <c r="AA89" s="15" t="str">
        <f aca="false">IF(OR(Z89="",R89=""),"",Z89+INDEX(Scoring!$E$21:$E$24,MATCH(R89,Scoring!$A$21:$A$24,0)))</f>
        <v/>
      </c>
      <c r="AB89" s="16" t="str">
        <f aca="false">IF(Q89="","",Q89+(1000-ROW())/100000)</f>
        <v/>
      </c>
    </row>
    <row r="90" customFormat="false" ht="19.5" hidden="false" customHeight="true" outlineLevel="0" collapsed="false">
      <c r="A90" s="13"/>
      <c r="B90" s="15"/>
      <c r="C90" s="17"/>
      <c r="D90" s="17"/>
      <c r="E90" s="17"/>
      <c r="F90" s="17"/>
      <c r="G90" s="17"/>
      <c r="H90" s="14"/>
      <c r="I90" s="14"/>
      <c r="J90" s="13" t="str">
        <f aca="false">IF(OR(H90="",I90=""),"",H90*I90)</f>
        <v/>
      </c>
      <c r="K90" s="14" t="str">
        <f aca="false">IF(J90="","",IF(J90&gt;=Scoring!$B$24,"Critical",IF(J90&gt;=Scoring!$B$23,"High",IF(J90&gt;=Scoring!$B$22,"Medium","Low"))))</f>
        <v/>
      </c>
      <c r="L90" s="17"/>
      <c r="M90" s="17"/>
      <c r="N90" s="14"/>
      <c r="O90" s="14"/>
      <c r="P90" s="14"/>
      <c r="Q90" s="13" t="str">
        <f aca="false">IF(OR(O90="",P90=""),"",O90*P90)</f>
        <v/>
      </c>
      <c r="R90" s="14" t="str">
        <f aca="false">IF(Q90="","",IF(Q90&gt;=Scoring!$B$24,"Critical",IF(Q90&gt;=Scoring!$B$23,"High",IF(Q90&gt;=Scoring!$B$22,"Medium","Low"))))</f>
        <v/>
      </c>
      <c r="S90" s="14" t="str">
        <f aca="false">IF(Q90="","",IF(Q90&lt;=Scoring!$B$27,"Yes","No"))</f>
        <v/>
      </c>
      <c r="T90" s="14"/>
      <c r="U90" s="17"/>
      <c r="V90" s="17"/>
      <c r="W90" s="15"/>
      <c r="X90" s="14"/>
      <c r="Y90" s="17"/>
      <c r="Z90" s="15"/>
      <c r="AA90" s="15" t="str">
        <f aca="false">IF(OR(Z90="",R90=""),"",Z90+INDEX(Scoring!$E$21:$E$24,MATCH(R90,Scoring!$A$21:$A$24,0)))</f>
        <v/>
      </c>
      <c r="AB90" s="16" t="str">
        <f aca="false">IF(Q90="","",Q90+(1000-ROW())/100000)</f>
        <v/>
      </c>
    </row>
    <row r="91" customFormat="false" ht="19.5" hidden="false" customHeight="true" outlineLevel="0" collapsed="false">
      <c r="A91" s="13"/>
      <c r="B91" s="15"/>
      <c r="C91" s="17"/>
      <c r="D91" s="17"/>
      <c r="E91" s="17"/>
      <c r="F91" s="17"/>
      <c r="G91" s="17"/>
      <c r="H91" s="14"/>
      <c r="I91" s="14"/>
      <c r="J91" s="13" t="str">
        <f aca="false">IF(OR(H91="",I91=""),"",H91*I91)</f>
        <v/>
      </c>
      <c r="K91" s="14" t="str">
        <f aca="false">IF(J91="","",IF(J91&gt;=Scoring!$B$24,"Critical",IF(J91&gt;=Scoring!$B$23,"High",IF(J91&gt;=Scoring!$B$22,"Medium","Low"))))</f>
        <v/>
      </c>
      <c r="L91" s="17"/>
      <c r="M91" s="17"/>
      <c r="N91" s="14"/>
      <c r="O91" s="14"/>
      <c r="P91" s="14"/>
      <c r="Q91" s="13" t="str">
        <f aca="false">IF(OR(O91="",P91=""),"",O91*P91)</f>
        <v/>
      </c>
      <c r="R91" s="14" t="str">
        <f aca="false">IF(Q91="","",IF(Q91&gt;=Scoring!$B$24,"Critical",IF(Q91&gt;=Scoring!$B$23,"High",IF(Q91&gt;=Scoring!$B$22,"Medium","Low"))))</f>
        <v/>
      </c>
      <c r="S91" s="14" t="str">
        <f aca="false">IF(Q91="","",IF(Q91&lt;=Scoring!$B$27,"Yes","No"))</f>
        <v/>
      </c>
      <c r="T91" s="14"/>
      <c r="U91" s="17"/>
      <c r="V91" s="17"/>
      <c r="W91" s="15"/>
      <c r="X91" s="14"/>
      <c r="Y91" s="17"/>
      <c r="Z91" s="15"/>
      <c r="AA91" s="15" t="str">
        <f aca="false">IF(OR(Z91="",R91=""),"",Z91+INDEX(Scoring!$E$21:$E$24,MATCH(R91,Scoring!$A$21:$A$24,0)))</f>
        <v/>
      </c>
      <c r="AB91" s="16" t="str">
        <f aca="false">IF(Q91="","",Q91+(1000-ROW())/100000)</f>
        <v/>
      </c>
    </row>
    <row r="92" customFormat="false" ht="19.5" hidden="false" customHeight="true" outlineLevel="0" collapsed="false">
      <c r="A92" s="13"/>
      <c r="B92" s="15"/>
      <c r="C92" s="17"/>
      <c r="D92" s="17"/>
      <c r="E92" s="17"/>
      <c r="F92" s="17"/>
      <c r="G92" s="17"/>
      <c r="H92" s="14"/>
      <c r="I92" s="14"/>
      <c r="J92" s="13" t="str">
        <f aca="false">IF(OR(H92="",I92=""),"",H92*I92)</f>
        <v/>
      </c>
      <c r="K92" s="14" t="str">
        <f aca="false">IF(J92="","",IF(J92&gt;=Scoring!$B$24,"Critical",IF(J92&gt;=Scoring!$B$23,"High",IF(J92&gt;=Scoring!$B$22,"Medium","Low"))))</f>
        <v/>
      </c>
      <c r="L92" s="17"/>
      <c r="M92" s="17"/>
      <c r="N92" s="14"/>
      <c r="O92" s="14"/>
      <c r="P92" s="14"/>
      <c r="Q92" s="13" t="str">
        <f aca="false">IF(OR(O92="",P92=""),"",O92*P92)</f>
        <v/>
      </c>
      <c r="R92" s="14" t="str">
        <f aca="false">IF(Q92="","",IF(Q92&gt;=Scoring!$B$24,"Critical",IF(Q92&gt;=Scoring!$B$23,"High",IF(Q92&gt;=Scoring!$B$22,"Medium","Low"))))</f>
        <v/>
      </c>
      <c r="S92" s="14" t="str">
        <f aca="false">IF(Q92="","",IF(Q92&lt;=Scoring!$B$27,"Yes","No"))</f>
        <v/>
      </c>
      <c r="T92" s="14"/>
      <c r="U92" s="17"/>
      <c r="V92" s="17"/>
      <c r="W92" s="15"/>
      <c r="X92" s="14"/>
      <c r="Y92" s="17"/>
      <c r="Z92" s="15"/>
      <c r="AA92" s="15" t="str">
        <f aca="false">IF(OR(Z92="",R92=""),"",Z92+INDEX(Scoring!$E$21:$E$24,MATCH(R92,Scoring!$A$21:$A$24,0)))</f>
        <v/>
      </c>
      <c r="AB92" s="16" t="str">
        <f aca="false">IF(Q92="","",Q92+(1000-ROW())/100000)</f>
        <v/>
      </c>
    </row>
    <row r="93" customFormat="false" ht="19.5" hidden="false" customHeight="true" outlineLevel="0" collapsed="false">
      <c r="A93" s="13"/>
      <c r="B93" s="15"/>
      <c r="C93" s="17"/>
      <c r="D93" s="17"/>
      <c r="E93" s="17"/>
      <c r="F93" s="17"/>
      <c r="G93" s="17"/>
      <c r="H93" s="14"/>
      <c r="I93" s="14"/>
      <c r="J93" s="13" t="str">
        <f aca="false">IF(OR(H93="",I93=""),"",H93*I93)</f>
        <v/>
      </c>
      <c r="K93" s="14" t="str">
        <f aca="false">IF(J93="","",IF(J93&gt;=Scoring!$B$24,"Critical",IF(J93&gt;=Scoring!$B$23,"High",IF(J93&gt;=Scoring!$B$22,"Medium","Low"))))</f>
        <v/>
      </c>
      <c r="L93" s="17"/>
      <c r="M93" s="17"/>
      <c r="N93" s="14"/>
      <c r="O93" s="14"/>
      <c r="P93" s="14"/>
      <c r="Q93" s="13" t="str">
        <f aca="false">IF(OR(O93="",P93=""),"",O93*P93)</f>
        <v/>
      </c>
      <c r="R93" s="14" t="str">
        <f aca="false">IF(Q93="","",IF(Q93&gt;=Scoring!$B$24,"Critical",IF(Q93&gt;=Scoring!$B$23,"High",IF(Q93&gt;=Scoring!$B$22,"Medium","Low"))))</f>
        <v/>
      </c>
      <c r="S93" s="14" t="str">
        <f aca="false">IF(Q93="","",IF(Q93&lt;=Scoring!$B$27,"Yes","No"))</f>
        <v/>
      </c>
      <c r="T93" s="14"/>
      <c r="U93" s="17"/>
      <c r="V93" s="17"/>
      <c r="W93" s="15"/>
      <c r="X93" s="14"/>
      <c r="Y93" s="17"/>
      <c r="Z93" s="15"/>
      <c r="AA93" s="15" t="str">
        <f aca="false">IF(OR(Z93="",R93=""),"",Z93+INDEX(Scoring!$E$21:$E$24,MATCH(R93,Scoring!$A$21:$A$24,0)))</f>
        <v/>
      </c>
      <c r="AB93" s="16" t="str">
        <f aca="false">IF(Q93="","",Q93+(1000-ROW())/100000)</f>
        <v/>
      </c>
    </row>
    <row r="94" customFormat="false" ht="19.5" hidden="false" customHeight="true" outlineLevel="0" collapsed="false">
      <c r="A94" s="13"/>
      <c r="B94" s="15"/>
      <c r="C94" s="17"/>
      <c r="D94" s="17"/>
      <c r="E94" s="17"/>
      <c r="F94" s="17"/>
      <c r="G94" s="17"/>
      <c r="H94" s="14"/>
      <c r="I94" s="14"/>
      <c r="J94" s="13" t="str">
        <f aca="false">IF(OR(H94="",I94=""),"",H94*I94)</f>
        <v/>
      </c>
      <c r="K94" s="14" t="str">
        <f aca="false">IF(J94="","",IF(J94&gt;=Scoring!$B$24,"Critical",IF(J94&gt;=Scoring!$B$23,"High",IF(J94&gt;=Scoring!$B$22,"Medium","Low"))))</f>
        <v/>
      </c>
      <c r="L94" s="17"/>
      <c r="M94" s="17"/>
      <c r="N94" s="14"/>
      <c r="O94" s="14"/>
      <c r="P94" s="14"/>
      <c r="Q94" s="13" t="str">
        <f aca="false">IF(OR(O94="",P94=""),"",O94*P94)</f>
        <v/>
      </c>
      <c r="R94" s="14" t="str">
        <f aca="false">IF(Q94="","",IF(Q94&gt;=Scoring!$B$24,"Critical",IF(Q94&gt;=Scoring!$B$23,"High",IF(Q94&gt;=Scoring!$B$22,"Medium","Low"))))</f>
        <v/>
      </c>
      <c r="S94" s="14" t="str">
        <f aca="false">IF(Q94="","",IF(Q94&lt;=Scoring!$B$27,"Yes","No"))</f>
        <v/>
      </c>
      <c r="T94" s="14"/>
      <c r="U94" s="17"/>
      <c r="V94" s="17"/>
      <c r="W94" s="15"/>
      <c r="X94" s="14"/>
      <c r="Y94" s="17"/>
      <c r="Z94" s="15"/>
      <c r="AA94" s="15" t="str">
        <f aca="false">IF(OR(Z94="",R94=""),"",Z94+INDEX(Scoring!$E$21:$E$24,MATCH(R94,Scoring!$A$21:$A$24,0)))</f>
        <v/>
      </c>
      <c r="AB94" s="16" t="str">
        <f aca="false">IF(Q94="","",Q94+(1000-ROW())/100000)</f>
        <v/>
      </c>
    </row>
    <row r="95" customFormat="false" ht="19.5" hidden="false" customHeight="true" outlineLevel="0" collapsed="false">
      <c r="A95" s="13"/>
      <c r="B95" s="15"/>
      <c r="C95" s="17"/>
      <c r="D95" s="17"/>
      <c r="E95" s="17"/>
      <c r="F95" s="17"/>
      <c r="G95" s="17"/>
      <c r="H95" s="14"/>
      <c r="I95" s="14"/>
      <c r="J95" s="13" t="str">
        <f aca="false">IF(OR(H95="",I95=""),"",H95*I95)</f>
        <v/>
      </c>
      <c r="K95" s="14" t="str">
        <f aca="false">IF(J95="","",IF(J95&gt;=Scoring!$B$24,"Critical",IF(J95&gt;=Scoring!$B$23,"High",IF(J95&gt;=Scoring!$B$22,"Medium","Low"))))</f>
        <v/>
      </c>
      <c r="L95" s="17"/>
      <c r="M95" s="17"/>
      <c r="N95" s="14"/>
      <c r="O95" s="14"/>
      <c r="P95" s="14"/>
      <c r="Q95" s="13" t="str">
        <f aca="false">IF(OR(O95="",P95=""),"",O95*P95)</f>
        <v/>
      </c>
      <c r="R95" s="14" t="str">
        <f aca="false">IF(Q95="","",IF(Q95&gt;=Scoring!$B$24,"Critical",IF(Q95&gt;=Scoring!$B$23,"High",IF(Q95&gt;=Scoring!$B$22,"Medium","Low"))))</f>
        <v/>
      </c>
      <c r="S95" s="14" t="str">
        <f aca="false">IF(Q95="","",IF(Q95&lt;=Scoring!$B$27,"Yes","No"))</f>
        <v/>
      </c>
      <c r="T95" s="14"/>
      <c r="U95" s="17"/>
      <c r="V95" s="17"/>
      <c r="W95" s="15"/>
      <c r="X95" s="14"/>
      <c r="Y95" s="17"/>
      <c r="Z95" s="15"/>
      <c r="AA95" s="15" t="str">
        <f aca="false">IF(OR(Z95="",R95=""),"",Z95+INDEX(Scoring!$E$21:$E$24,MATCH(R95,Scoring!$A$21:$A$24,0)))</f>
        <v/>
      </c>
      <c r="AB95" s="16" t="str">
        <f aca="false">IF(Q95="","",Q95+(1000-ROW())/100000)</f>
        <v/>
      </c>
    </row>
    <row r="96" customFormat="false" ht="19.5" hidden="false" customHeight="true" outlineLevel="0" collapsed="false">
      <c r="A96" s="13"/>
      <c r="B96" s="15"/>
      <c r="C96" s="17"/>
      <c r="D96" s="17"/>
      <c r="E96" s="17"/>
      <c r="F96" s="17"/>
      <c r="G96" s="17"/>
      <c r="H96" s="14"/>
      <c r="I96" s="14"/>
      <c r="J96" s="13" t="str">
        <f aca="false">IF(OR(H96="",I96=""),"",H96*I96)</f>
        <v/>
      </c>
      <c r="K96" s="14" t="str">
        <f aca="false">IF(J96="","",IF(J96&gt;=Scoring!$B$24,"Critical",IF(J96&gt;=Scoring!$B$23,"High",IF(J96&gt;=Scoring!$B$22,"Medium","Low"))))</f>
        <v/>
      </c>
      <c r="L96" s="17"/>
      <c r="M96" s="17"/>
      <c r="N96" s="14"/>
      <c r="O96" s="14"/>
      <c r="P96" s="14"/>
      <c r="Q96" s="13" t="str">
        <f aca="false">IF(OR(O96="",P96=""),"",O96*P96)</f>
        <v/>
      </c>
      <c r="R96" s="14" t="str">
        <f aca="false">IF(Q96="","",IF(Q96&gt;=Scoring!$B$24,"Critical",IF(Q96&gt;=Scoring!$B$23,"High",IF(Q96&gt;=Scoring!$B$22,"Medium","Low"))))</f>
        <v/>
      </c>
      <c r="S96" s="14" t="str">
        <f aca="false">IF(Q96="","",IF(Q96&lt;=Scoring!$B$27,"Yes","No"))</f>
        <v/>
      </c>
      <c r="T96" s="14"/>
      <c r="U96" s="17"/>
      <c r="V96" s="17"/>
      <c r="W96" s="15"/>
      <c r="X96" s="14"/>
      <c r="Y96" s="17"/>
      <c r="Z96" s="15"/>
      <c r="AA96" s="15" t="str">
        <f aca="false">IF(OR(Z96="",R96=""),"",Z96+INDEX(Scoring!$E$21:$E$24,MATCH(R96,Scoring!$A$21:$A$24,0)))</f>
        <v/>
      </c>
      <c r="AB96" s="16" t="str">
        <f aca="false">IF(Q96="","",Q96+(1000-ROW())/100000)</f>
        <v/>
      </c>
    </row>
    <row r="97" customFormat="false" ht="19.5" hidden="false" customHeight="true" outlineLevel="0" collapsed="false">
      <c r="A97" s="13"/>
      <c r="B97" s="15"/>
      <c r="C97" s="17"/>
      <c r="D97" s="17"/>
      <c r="E97" s="17"/>
      <c r="F97" s="17"/>
      <c r="G97" s="17"/>
      <c r="H97" s="14"/>
      <c r="I97" s="14"/>
      <c r="J97" s="13" t="str">
        <f aca="false">IF(OR(H97="",I97=""),"",H97*I97)</f>
        <v/>
      </c>
      <c r="K97" s="14" t="str">
        <f aca="false">IF(J97="","",IF(J97&gt;=Scoring!$B$24,"Critical",IF(J97&gt;=Scoring!$B$23,"High",IF(J97&gt;=Scoring!$B$22,"Medium","Low"))))</f>
        <v/>
      </c>
      <c r="L97" s="17"/>
      <c r="M97" s="17"/>
      <c r="N97" s="14"/>
      <c r="O97" s="14"/>
      <c r="P97" s="14"/>
      <c r="Q97" s="13" t="str">
        <f aca="false">IF(OR(O97="",P97=""),"",O97*P97)</f>
        <v/>
      </c>
      <c r="R97" s="14" t="str">
        <f aca="false">IF(Q97="","",IF(Q97&gt;=Scoring!$B$24,"Critical",IF(Q97&gt;=Scoring!$B$23,"High",IF(Q97&gt;=Scoring!$B$22,"Medium","Low"))))</f>
        <v/>
      </c>
      <c r="S97" s="14" t="str">
        <f aca="false">IF(Q97="","",IF(Q97&lt;=Scoring!$B$27,"Yes","No"))</f>
        <v/>
      </c>
      <c r="T97" s="14"/>
      <c r="U97" s="17"/>
      <c r="V97" s="17"/>
      <c r="W97" s="15"/>
      <c r="X97" s="14"/>
      <c r="Y97" s="17"/>
      <c r="Z97" s="15"/>
      <c r="AA97" s="15" t="str">
        <f aca="false">IF(OR(Z97="",R97=""),"",Z97+INDEX(Scoring!$E$21:$E$24,MATCH(R97,Scoring!$A$21:$A$24,0)))</f>
        <v/>
      </c>
      <c r="AB97" s="16" t="str">
        <f aca="false">IF(Q97="","",Q97+(1000-ROW())/100000)</f>
        <v/>
      </c>
    </row>
    <row r="98" customFormat="false" ht="19.5" hidden="false" customHeight="true" outlineLevel="0" collapsed="false">
      <c r="A98" s="13"/>
      <c r="B98" s="15"/>
      <c r="C98" s="17"/>
      <c r="D98" s="17"/>
      <c r="E98" s="17"/>
      <c r="F98" s="17"/>
      <c r="G98" s="17"/>
      <c r="H98" s="14"/>
      <c r="I98" s="14"/>
      <c r="J98" s="13" t="str">
        <f aca="false">IF(OR(H98="",I98=""),"",H98*I98)</f>
        <v/>
      </c>
      <c r="K98" s="14" t="str">
        <f aca="false">IF(J98="","",IF(J98&gt;=Scoring!$B$24,"Critical",IF(J98&gt;=Scoring!$B$23,"High",IF(J98&gt;=Scoring!$B$22,"Medium","Low"))))</f>
        <v/>
      </c>
      <c r="L98" s="17"/>
      <c r="M98" s="17"/>
      <c r="N98" s="14"/>
      <c r="O98" s="14"/>
      <c r="P98" s="14"/>
      <c r="Q98" s="13" t="str">
        <f aca="false">IF(OR(O98="",P98=""),"",O98*P98)</f>
        <v/>
      </c>
      <c r="R98" s="14" t="str">
        <f aca="false">IF(Q98="","",IF(Q98&gt;=Scoring!$B$24,"Critical",IF(Q98&gt;=Scoring!$B$23,"High",IF(Q98&gt;=Scoring!$B$22,"Medium","Low"))))</f>
        <v/>
      </c>
      <c r="S98" s="14" t="str">
        <f aca="false">IF(Q98="","",IF(Q98&lt;=Scoring!$B$27,"Yes","No"))</f>
        <v/>
      </c>
      <c r="T98" s="14"/>
      <c r="U98" s="17"/>
      <c r="V98" s="17"/>
      <c r="W98" s="15"/>
      <c r="X98" s="14"/>
      <c r="Y98" s="17"/>
      <c r="Z98" s="15"/>
      <c r="AA98" s="15" t="str">
        <f aca="false">IF(OR(Z98="",R98=""),"",Z98+INDEX(Scoring!$E$21:$E$24,MATCH(R98,Scoring!$A$21:$A$24,0)))</f>
        <v/>
      </c>
      <c r="AB98" s="16" t="str">
        <f aca="false">IF(Q98="","",Q98+(1000-ROW())/100000)</f>
        <v/>
      </c>
    </row>
    <row r="99" customFormat="false" ht="19.5" hidden="false" customHeight="true" outlineLevel="0" collapsed="false">
      <c r="A99" s="13"/>
      <c r="B99" s="15"/>
      <c r="C99" s="17"/>
      <c r="D99" s="17"/>
      <c r="E99" s="17"/>
      <c r="F99" s="17"/>
      <c r="G99" s="17"/>
      <c r="H99" s="14"/>
      <c r="I99" s="14"/>
      <c r="J99" s="13" t="str">
        <f aca="false">IF(OR(H99="",I99=""),"",H99*I99)</f>
        <v/>
      </c>
      <c r="K99" s="14" t="str">
        <f aca="false">IF(J99="","",IF(J99&gt;=Scoring!$B$24,"Critical",IF(J99&gt;=Scoring!$B$23,"High",IF(J99&gt;=Scoring!$B$22,"Medium","Low"))))</f>
        <v/>
      </c>
      <c r="L99" s="17"/>
      <c r="M99" s="17"/>
      <c r="N99" s="14"/>
      <c r="O99" s="14"/>
      <c r="P99" s="14"/>
      <c r="Q99" s="13" t="str">
        <f aca="false">IF(OR(O99="",P99=""),"",O99*P99)</f>
        <v/>
      </c>
      <c r="R99" s="14" t="str">
        <f aca="false">IF(Q99="","",IF(Q99&gt;=Scoring!$B$24,"Critical",IF(Q99&gt;=Scoring!$B$23,"High",IF(Q99&gt;=Scoring!$B$22,"Medium","Low"))))</f>
        <v/>
      </c>
      <c r="S99" s="14" t="str">
        <f aca="false">IF(Q99="","",IF(Q99&lt;=Scoring!$B$27,"Yes","No"))</f>
        <v/>
      </c>
      <c r="T99" s="14"/>
      <c r="U99" s="17"/>
      <c r="V99" s="17"/>
      <c r="W99" s="15"/>
      <c r="X99" s="14"/>
      <c r="Y99" s="17"/>
      <c r="Z99" s="15"/>
      <c r="AA99" s="15" t="str">
        <f aca="false">IF(OR(Z99="",R99=""),"",Z99+INDEX(Scoring!$E$21:$E$24,MATCH(R99,Scoring!$A$21:$A$24,0)))</f>
        <v/>
      </c>
      <c r="AB99" s="16" t="str">
        <f aca="false">IF(Q99="","",Q99+(1000-ROW())/100000)</f>
        <v/>
      </c>
    </row>
    <row r="100" customFormat="false" ht="19.5" hidden="false" customHeight="true" outlineLevel="0" collapsed="false">
      <c r="A100" s="13"/>
      <c r="B100" s="15"/>
      <c r="C100" s="17"/>
      <c r="D100" s="17"/>
      <c r="E100" s="17"/>
      <c r="F100" s="17"/>
      <c r="G100" s="17"/>
      <c r="H100" s="14"/>
      <c r="I100" s="14"/>
      <c r="J100" s="13" t="str">
        <f aca="false">IF(OR(H100="",I100=""),"",H100*I100)</f>
        <v/>
      </c>
      <c r="K100" s="14" t="str">
        <f aca="false">IF(J100="","",IF(J100&gt;=Scoring!$B$24,"Critical",IF(J100&gt;=Scoring!$B$23,"High",IF(J100&gt;=Scoring!$B$22,"Medium","Low"))))</f>
        <v/>
      </c>
      <c r="L100" s="17"/>
      <c r="M100" s="17"/>
      <c r="N100" s="14"/>
      <c r="O100" s="14"/>
      <c r="P100" s="14"/>
      <c r="Q100" s="13" t="str">
        <f aca="false">IF(OR(O100="",P100=""),"",O100*P100)</f>
        <v/>
      </c>
      <c r="R100" s="14" t="str">
        <f aca="false">IF(Q100="","",IF(Q100&gt;=Scoring!$B$24,"Critical",IF(Q100&gt;=Scoring!$B$23,"High",IF(Q100&gt;=Scoring!$B$22,"Medium","Low"))))</f>
        <v/>
      </c>
      <c r="S100" s="14" t="str">
        <f aca="false">IF(Q100="","",IF(Q100&lt;=Scoring!$B$27,"Yes","No"))</f>
        <v/>
      </c>
      <c r="T100" s="14"/>
      <c r="U100" s="17"/>
      <c r="V100" s="17"/>
      <c r="W100" s="15"/>
      <c r="X100" s="14"/>
      <c r="Y100" s="17"/>
      <c r="Z100" s="15"/>
      <c r="AA100" s="15" t="str">
        <f aca="false">IF(OR(Z100="",R100=""),"",Z100+INDEX(Scoring!$E$21:$E$24,MATCH(R100,Scoring!$A$21:$A$24,0)))</f>
        <v/>
      </c>
      <c r="AB100" s="16" t="str">
        <f aca="false">IF(Q100="","",Q100+(1000-ROW())/100000)</f>
        <v/>
      </c>
    </row>
    <row r="101" customFormat="false" ht="19.5" hidden="false" customHeight="true" outlineLevel="0" collapsed="false">
      <c r="A101" s="13"/>
      <c r="B101" s="15"/>
      <c r="C101" s="17"/>
      <c r="D101" s="17"/>
      <c r="E101" s="17"/>
      <c r="F101" s="17"/>
      <c r="G101" s="17"/>
      <c r="H101" s="14"/>
      <c r="I101" s="14"/>
      <c r="J101" s="13" t="str">
        <f aca="false">IF(OR(H101="",I101=""),"",H101*I101)</f>
        <v/>
      </c>
      <c r="K101" s="14" t="str">
        <f aca="false">IF(J101="","",IF(J101&gt;=Scoring!$B$24,"Critical",IF(J101&gt;=Scoring!$B$23,"High",IF(J101&gt;=Scoring!$B$22,"Medium","Low"))))</f>
        <v/>
      </c>
      <c r="L101" s="17"/>
      <c r="M101" s="17"/>
      <c r="N101" s="14"/>
      <c r="O101" s="14"/>
      <c r="P101" s="14"/>
      <c r="Q101" s="13" t="str">
        <f aca="false">IF(OR(O101="",P101=""),"",O101*P101)</f>
        <v/>
      </c>
      <c r="R101" s="14" t="str">
        <f aca="false">IF(Q101="","",IF(Q101&gt;=Scoring!$B$24,"Critical",IF(Q101&gt;=Scoring!$B$23,"High",IF(Q101&gt;=Scoring!$B$22,"Medium","Low"))))</f>
        <v/>
      </c>
      <c r="S101" s="14" t="str">
        <f aca="false">IF(Q101="","",IF(Q101&lt;=Scoring!$B$27,"Yes","No"))</f>
        <v/>
      </c>
      <c r="T101" s="14"/>
      <c r="U101" s="17"/>
      <c r="V101" s="17"/>
      <c r="W101" s="15"/>
      <c r="X101" s="14"/>
      <c r="Y101" s="17"/>
      <c r="Z101" s="15"/>
      <c r="AA101" s="15" t="str">
        <f aca="false">IF(OR(Z101="",R101=""),"",Z101+INDEX(Scoring!$E$21:$E$24,MATCH(R101,Scoring!$A$21:$A$24,0)))</f>
        <v/>
      </c>
      <c r="AB101" s="16" t="str">
        <f aca="false">IF(Q101="","",Q101+(1000-ROW())/100000)</f>
        <v/>
      </c>
    </row>
    <row r="102" customFormat="false" ht="19.5" hidden="false" customHeight="true" outlineLevel="0" collapsed="false">
      <c r="A102" s="13"/>
      <c r="B102" s="15"/>
      <c r="C102" s="17"/>
      <c r="D102" s="17"/>
      <c r="E102" s="17"/>
      <c r="F102" s="17"/>
      <c r="G102" s="17"/>
      <c r="H102" s="14"/>
      <c r="I102" s="14"/>
      <c r="J102" s="13" t="str">
        <f aca="false">IF(OR(H102="",I102=""),"",H102*I102)</f>
        <v/>
      </c>
      <c r="K102" s="14" t="str">
        <f aca="false">IF(J102="","",IF(J102&gt;=Scoring!$B$24,"Critical",IF(J102&gt;=Scoring!$B$23,"High",IF(J102&gt;=Scoring!$B$22,"Medium","Low"))))</f>
        <v/>
      </c>
      <c r="L102" s="17"/>
      <c r="M102" s="17"/>
      <c r="N102" s="14"/>
      <c r="O102" s="14"/>
      <c r="P102" s="14"/>
      <c r="Q102" s="13" t="str">
        <f aca="false">IF(OR(O102="",P102=""),"",O102*P102)</f>
        <v/>
      </c>
      <c r="R102" s="14" t="str">
        <f aca="false">IF(Q102="","",IF(Q102&gt;=Scoring!$B$24,"Critical",IF(Q102&gt;=Scoring!$B$23,"High",IF(Q102&gt;=Scoring!$B$22,"Medium","Low"))))</f>
        <v/>
      </c>
      <c r="S102" s="14" t="str">
        <f aca="false">IF(Q102="","",IF(Q102&lt;=Scoring!$B$27,"Yes","No"))</f>
        <v/>
      </c>
      <c r="T102" s="14"/>
      <c r="U102" s="17"/>
      <c r="V102" s="17"/>
      <c r="W102" s="15"/>
      <c r="X102" s="14"/>
      <c r="Y102" s="17"/>
      <c r="Z102" s="15"/>
      <c r="AA102" s="15" t="str">
        <f aca="false">IF(OR(Z102="",R102=""),"",Z102+INDEX(Scoring!$E$21:$E$24,MATCH(R102,Scoring!$A$21:$A$24,0)))</f>
        <v/>
      </c>
      <c r="AB102" s="16" t="str">
        <f aca="false">IF(Q102="","",Q102+(1000-ROW())/100000)</f>
        <v/>
      </c>
    </row>
    <row r="103" customFormat="false" ht="19.5" hidden="false" customHeight="true" outlineLevel="0" collapsed="false">
      <c r="A103" s="13"/>
      <c r="B103" s="15"/>
      <c r="C103" s="17"/>
      <c r="D103" s="17"/>
      <c r="E103" s="17"/>
      <c r="F103" s="17"/>
      <c r="G103" s="17"/>
      <c r="H103" s="14"/>
      <c r="I103" s="14"/>
      <c r="J103" s="13" t="str">
        <f aca="false">IF(OR(H103="",I103=""),"",H103*I103)</f>
        <v/>
      </c>
      <c r="K103" s="14" t="str">
        <f aca="false">IF(J103="","",IF(J103&gt;=Scoring!$B$24,"Critical",IF(J103&gt;=Scoring!$B$23,"High",IF(J103&gt;=Scoring!$B$22,"Medium","Low"))))</f>
        <v/>
      </c>
      <c r="L103" s="17"/>
      <c r="M103" s="17"/>
      <c r="N103" s="14"/>
      <c r="O103" s="14"/>
      <c r="P103" s="14"/>
      <c r="Q103" s="13" t="str">
        <f aca="false">IF(OR(O103="",P103=""),"",O103*P103)</f>
        <v/>
      </c>
      <c r="R103" s="14" t="str">
        <f aca="false">IF(Q103="","",IF(Q103&gt;=Scoring!$B$24,"Critical",IF(Q103&gt;=Scoring!$B$23,"High",IF(Q103&gt;=Scoring!$B$22,"Medium","Low"))))</f>
        <v/>
      </c>
      <c r="S103" s="14" t="str">
        <f aca="false">IF(Q103="","",IF(Q103&lt;=Scoring!$B$27,"Yes","No"))</f>
        <v/>
      </c>
      <c r="T103" s="14"/>
      <c r="U103" s="17"/>
      <c r="V103" s="17"/>
      <c r="W103" s="15"/>
      <c r="X103" s="14"/>
      <c r="Y103" s="17"/>
      <c r="Z103" s="15"/>
      <c r="AA103" s="15" t="str">
        <f aca="false">IF(OR(Z103="",R103=""),"",Z103+INDEX(Scoring!$E$21:$E$24,MATCH(R103,Scoring!$A$21:$A$24,0)))</f>
        <v/>
      </c>
      <c r="AB103" s="16" t="str">
        <f aca="false">IF(Q103="","",Q103+(1000-ROW())/100000)</f>
        <v/>
      </c>
    </row>
    <row r="104" customFormat="false" ht="19.5" hidden="false" customHeight="true" outlineLevel="0" collapsed="false">
      <c r="A104" s="13"/>
      <c r="B104" s="15"/>
      <c r="C104" s="17"/>
      <c r="D104" s="17"/>
      <c r="E104" s="17"/>
      <c r="F104" s="17"/>
      <c r="G104" s="17"/>
      <c r="H104" s="14"/>
      <c r="I104" s="14"/>
      <c r="J104" s="13" t="str">
        <f aca="false">IF(OR(H104="",I104=""),"",H104*I104)</f>
        <v/>
      </c>
      <c r="K104" s="14" t="str">
        <f aca="false">IF(J104="","",IF(J104&gt;=Scoring!$B$24,"Critical",IF(J104&gt;=Scoring!$B$23,"High",IF(J104&gt;=Scoring!$B$22,"Medium","Low"))))</f>
        <v/>
      </c>
      <c r="L104" s="17"/>
      <c r="M104" s="17"/>
      <c r="N104" s="14"/>
      <c r="O104" s="14"/>
      <c r="P104" s="14"/>
      <c r="Q104" s="13" t="str">
        <f aca="false">IF(OR(O104="",P104=""),"",O104*P104)</f>
        <v/>
      </c>
      <c r="R104" s="14" t="str">
        <f aca="false">IF(Q104="","",IF(Q104&gt;=Scoring!$B$24,"Critical",IF(Q104&gt;=Scoring!$B$23,"High",IF(Q104&gt;=Scoring!$B$22,"Medium","Low"))))</f>
        <v/>
      </c>
      <c r="S104" s="14" t="str">
        <f aca="false">IF(Q104="","",IF(Q104&lt;=Scoring!$B$27,"Yes","No"))</f>
        <v/>
      </c>
      <c r="T104" s="14"/>
      <c r="U104" s="17"/>
      <c r="V104" s="17"/>
      <c r="W104" s="15"/>
      <c r="X104" s="14"/>
      <c r="Y104" s="17"/>
      <c r="Z104" s="15"/>
      <c r="AA104" s="15" t="str">
        <f aca="false">IF(OR(Z104="",R104=""),"",Z104+INDEX(Scoring!$E$21:$E$24,MATCH(R104,Scoring!$A$21:$A$24,0)))</f>
        <v/>
      </c>
      <c r="AB104" s="16" t="str">
        <f aca="false">IF(Q104="","",Q104+(1000-ROW())/100000)</f>
        <v/>
      </c>
    </row>
    <row r="105" customFormat="false" ht="19.5" hidden="false" customHeight="true" outlineLevel="0" collapsed="false">
      <c r="A105" s="13"/>
      <c r="B105" s="15"/>
      <c r="C105" s="17"/>
      <c r="D105" s="17"/>
      <c r="E105" s="17"/>
      <c r="F105" s="17"/>
      <c r="G105" s="17"/>
      <c r="H105" s="14"/>
      <c r="I105" s="14"/>
      <c r="J105" s="13" t="str">
        <f aca="false">IF(OR(H105="",I105=""),"",H105*I105)</f>
        <v/>
      </c>
      <c r="K105" s="14" t="str">
        <f aca="false">IF(J105="","",IF(J105&gt;=Scoring!$B$24,"Critical",IF(J105&gt;=Scoring!$B$23,"High",IF(J105&gt;=Scoring!$B$22,"Medium","Low"))))</f>
        <v/>
      </c>
      <c r="L105" s="17"/>
      <c r="M105" s="17"/>
      <c r="N105" s="14"/>
      <c r="O105" s="14"/>
      <c r="P105" s="14"/>
      <c r="Q105" s="13" t="str">
        <f aca="false">IF(OR(O105="",P105=""),"",O105*P105)</f>
        <v/>
      </c>
      <c r="R105" s="14" t="str">
        <f aca="false">IF(Q105="","",IF(Q105&gt;=Scoring!$B$24,"Critical",IF(Q105&gt;=Scoring!$B$23,"High",IF(Q105&gt;=Scoring!$B$22,"Medium","Low"))))</f>
        <v/>
      </c>
      <c r="S105" s="14" t="str">
        <f aca="false">IF(Q105="","",IF(Q105&lt;=Scoring!$B$27,"Yes","No"))</f>
        <v/>
      </c>
      <c r="T105" s="14"/>
      <c r="U105" s="17"/>
      <c r="V105" s="17"/>
      <c r="W105" s="15"/>
      <c r="X105" s="14"/>
      <c r="Y105" s="17"/>
      <c r="Z105" s="15"/>
      <c r="AA105" s="15" t="str">
        <f aca="false">IF(OR(Z105="",R105=""),"",Z105+INDEX(Scoring!$E$21:$E$24,MATCH(R105,Scoring!$A$21:$A$24,0)))</f>
        <v/>
      </c>
      <c r="AB105" s="16" t="str">
        <f aca="false">IF(Q105="","",Q105+(1000-ROW())/100000)</f>
        <v/>
      </c>
    </row>
  </sheetData>
  <autoFilter ref="A5:AA105"/>
  <conditionalFormatting sqref="K6:K105">
    <cfRule type="cellIs" priority="2" operator="equal" aboveAverage="0" equalAverage="0" bottom="0" percent="0" rank="0" text="" dxfId="11">
      <formula>"Low"</formula>
    </cfRule>
    <cfRule type="cellIs" priority="3" operator="equal" aboveAverage="0" equalAverage="0" bottom="0" percent="0" rank="0" text="" dxfId="12">
      <formula>"Medium"</formula>
    </cfRule>
    <cfRule type="cellIs" priority="4" operator="equal" aboveAverage="0" equalAverage="0" bottom="0" percent="0" rank="0" text="" dxfId="13">
      <formula>"High"</formula>
    </cfRule>
    <cfRule type="cellIs" priority="5" operator="equal" aboveAverage="0" equalAverage="0" bottom="0" percent="0" rank="0" text="" dxfId="14">
      <formula>"Critical"</formula>
    </cfRule>
  </conditionalFormatting>
  <conditionalFormatting sqref="R6:R105">
    <cfRule type="cellIs" priority="6" operator="equal" aboveAverage="0" equalAverage="0" bottom="0" percent="0" rank="0" text="" dxfId="11">
      <formula>"Low"</formula>
    </cfRule>
    <cfRule type="cellIs" priority="7" operator="equal" aboveAverage="0" equalAverage="0" bottom="0" percent="0" rank="0" text="" dxfId="12">
      <formula>"Medium"</formula>
    </cfRule>
    <cfRule type="cellIs" priority="8" operator="equal" aboveAverage="0" equalAverage="0" bottom="0" percent="0" rank="0" text="" dxfId="13">
      <formula>"High"</formula>
    </cfRule>
    <cfRule type="cellIs" priority="9" operator="equal" aboveAverage="0" equalAverage="0" bottom="0" percent="0" rank="0" text="" dxfId="14">
      <formula>"Critical"</formula>
    </cfRule>
  </conditionalFormatting>
  <conditionalFormatting sqref="S6:S105">
    <cfRule type="cellIs" priority="10" operator="equal" aboveAverage="0" equalAverage="0" bottom="0" percent="0" rank="0" text="" dxfId="15">
      <formula>"No"</formula>
    </cfRule>
    <cfRule type="cellIs" priority="11" operator="equal" aboveAverage="0" equalAverage="0" bottom="0" percent="0" rank="0" text="" dxfId="16">
      <formula>"Yes"</formula>
    </cfRule>
  </conditionalFormatting>
  <conditionalFormatting sqref="W6:W105">
    <cfRule type="expression" priority="12" aboveAverage="0" equalAverage="0" bottom="0" percent="0" rank="0" text="" dxfId="17">
      <formula>AND(W6&lt;&gt;"",W6&lt;TODAY(),X6&lt;&gt;"Closed")</formula>
    </cfRule>
  </conditionalFormatting>
  <conditionalFormatting sqref="AA6:AA105">
    <cfRule type="expression" priority="13" aboveAverage="0" equalAverage="0" bottom="0" percent="0" rank="0" text="" dxfId="18">
      <formula>AND(AA6&lt;&gt;"",AA6&lt;TODAY())</formula>
    </cfRule>
  </conditionalFormatting>
  <dataValidations count="5">
    <dataValidation allowBlank="true" errorStyle="stop" operator="between" showDropDown="false" showErrorMessage="false" showInputMessage="false" sqref="C6:C105" type="list">
      <formula1>Lists!$A$2:$A$14</formula1>
      <formula2>0</formula2>
    </dataValidation>
    <dataValidation allowBlank="true" errorStyle="stop" operator="between" showDropDown="false" showErrorMessage="false" showInputMessage="false" sqref="N6:N105" type="list">
      <formula1>Lists!$B$2:$B$4</formula1>
      <formula2>0</formula2>
    </dataValidation>
    <dataValidation allowBlank="true" errorStyle="stop" operator="between" showDropDown="false" showErrorMessage="false" showInputMessage="false" sqref="T6:T105" type="list">
      <formula1>Lists!$C$2:$C$5</formula1>
      <formula2>0</formula2>
    </dataValidation>
    <dataValidation allowBlank="true" errorStyle="stop" operator="between" showDropDown="false" showErrorMessage="false" showInputMessage="false" sqref="X6:X105" type="list">
      <formula1>Lists!$D$2:$D$5</formula1>
      <formula2>0</formula2>
    </dataValidation>
    <dataValidation allowBlank="true" error="Enter a whole number from 1 to 5." errorStyle="stop" errorTitle="Invalid score" operator="between" showDropDown="false" showErrorMessage="true" showInputMessage="false" sqref="H6:I105 O6:P105"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2"/>
    <col collapsed="false" customWidth="true" hidden="false" outlineLevel="0" max="3" min="3" style="0" width="14"/>
    <col collapsed="false" customWidth="true" hidden="false" outlineLevel="0" max="4" min="4" style="0" width="16"/>
    <col collapsed="false" customWidth="true" hidden="false" outlineLevel="0" max="5" min="5" style="0" width="24"/>
    <col collapsed="false" customWidth="true" hidden="false" outlineLevel="0" max="6" min="6" style="0" width="18"/>
    <col collapsed="false" customWidth="true" hidden="false" outlineLevel="0" max="7" min="7" style="0" width="12"/>
  </cols>
  <sheetData>
    <row r="1" customFormat="false" ht="19.7" hidden="false" customHeight="false" outlineLevel="0" collapsed="false">
      <c r="A1" s="1" t="s">
        <v>766</v>
      </c>
    </row>
    <row r="2" customFormat="false" ht="15" hidden="false" customHeight="false" outlineLevel="0" collapsed="false">
      <c r="A2" s="2" t="s">
        <v>767</v>
      </c>
    </row>
    <row r="4" customFormat="false" ht="15" hidden="false" customHeight="false" outlineLevel="0" collapsed="false">
      <c r="A4" s="18" t="s">
        <v>768</v>
      </c>
      <c r="D4" s="18" t="s">
        <v>769</v>
      </c>
    </row>
    <row r="5" customFormat="false" ht="21.75" hidden="false" customHeight="true" outlineLevel="0" collapsed="false">
      <c r="A5" s="19" t="s">
        <v>770</v>
      </c>
      <c r="B5" s="20" t="n">
        <f aca="false">COUNTA('Risk Register'!$A$6:$A$105)</f>
        <v>75</v>
      </c>
      <c r="D5" s="8" t="s">
        <v>771</v>
      </c>
      <c r="E5" s="8" t="s">
        <v>772</v>
      </c>
      <c r="F5" s="8" t="s">
        <v>773</v>
      </c>
    </row>
    <row r="6" customFormat="false" ht="15" hidden="false" customHeight="false" outlineLevel="0" collapsed="false">
      <c r="A6" s="19" t="s">
        <v>774</v>
      </c>
      <c r="B6" s="20" t="n">
        <f aca="false">COUNTIF('Risk Register'!$K$6:$K$105,"Critical")+COUNTIF('Risk Register'!$K$6:$K$105,"High")</f>
        <v>61</v>
      </c>
      <c r="D6" s="21" t="s">
        <v>775</v>
      </c>
      <c r="E6" s="22" t="n">
        <f aca="false">COUNTIF('Risk Register'!$K$6:$K$105,$D6)</f>
        <v>0</v>
      </c>
      <c r="F6" s="22" t="n">
        <f aca="false">COUNTIF('Risk Register'!$R$6:$R$105,$D6)</f>
        <v>6</v>
      </c>
    </row>
    <row r="7" customFormat="false" ht="15" hidden="false" customHeight="false" outlineLevel="0" collapsed="false">
      <c r="A7" s="19" t="s">
        <v>776</v>
      </c>
      <c r="B7" s="20" t="n">
        <f aca="false">COUNTIF('Risk Register'!$R$6:$R$105,"Critical")+COUNTIF('Risk Register'!$R$6:$R$105,"High")</f>
        <v>12</v>
      </c>
      <c r="D7" s="23" t="s">
        <v>777</v>
      </c>
      <c r="E7" s="22" t="n">
        <f aca="false">COUNTIF('Risk Register'!$K$6:$K$105,$D7)</f>
        <v>14</v>
      </c>
      <c r="F7" s="22" t="n">
        <f aca="false">COUNTIF('Risk Register'!$R$6:$R$105,$D7)</f>
        <v>57</v>
      </c>
    </row>
    <row r="8" customFormat="false" ht="15" hidden="false" customHeight="false" outlineLevel="0" collapsed="false">
      <c r="A8" s="19" t="s">
        <v>778</v>
      </c>
      <c r="B8" s="24" t="n">
        <f aca="false">IFERROR(AVERAGE('Risk Register'!$J$6:$J$105),0)</f>
        <v>12.6266666666667</v>
      </c>
      <c r="D8" s="25" t="s">
        <v>779</v>
      </c>
      <c r="E8" s="22" t="n">
        <f aca="false">COUNTIF('Risk Register'!$K$6:$K$105,$D8)</f>
        <v>36</v>
      </c>
      <c r="F8" s="22" t="n">
        <f aca="false">COUNTIF('Risk Register'!$R$6:$R$105,$D8)</f>
        <v>11</v>
      </c>
    </row>
    <row r="9" customFormat="false" ht="15" hidden="false" customHeight="false" outlineLevel="0" collapsed="false">
      <c r="A9" s="19" t="s">
        <v>780</v>
      </c>
      <c r="B9" s="24" t="n">
        <f aca="false">IFERROR(AVERAGE('Risk Register'!$Q$6:$Q$105),0)</f>
        <v>7.72</v>
      </c>
      <c r="D9" s="26" t="s">
        <v>781</v>
      </c>
      <c r="E9" s="22" t="n">
        <f aca="false">COUNTIF('Risk Register'!$K$6:$K$105,$D9)</f>
        <v>25</v>
      </c>
      <c r="F9" s="22" t="n">
        <f aca="false">COUNTIF('Risk Register'!$R$6:$R$105,$D9)</f>
        <v>1</v>
      </c>
    </row>
    <row r="10" customFormat="false" ht="15" hidden="false" customHeight="false" outlineLevel="0" collapsed="false">
      <c r="A10" s="19" t="s">
        <v>782</v>
      </c>
      <c r="B10" s="27" t="n">
        <f aca="false">IFERROR(1-B9/B8,0)</f>
        <v>0.388595564941922</v>
      </c>
      <c r="D10" s="28" t="s">
        <v>783</v>
      </c>
      <c r="E10" s="29" t="n">
        <f aca="false">SUM(E6:E9)</f>
        <v>75</v>
      </c>
      <c r="F10" s="29" t="n">
        <f aca="false">SUM(F6:F9)</f>
        <v>75</v>
      </c>
    </row>
    <row r="11" customFormat="false" ht="15" hidden="false" customHeight="false" outlineLevel="0" collapsed="false">
      <c r="A11" s="19" t="s">
        <v>784</v>
      </c>
      <c r="B11" s="27" t="n">
        <f aca="false">IFERROR(COUNTIF('Risk Register'!$S$6:$S$105,"Yes")/B5,0)</f>
        <v>0.84</v>
      </c>
    </row>
    <row r="12" customFormat="false" ht="15" hidden="false" customHeight="false" outlineLevel="0" collapsed="false">
      <c r="A12" s="19" t="s">
        <v>785</v>
      </c>
      <c r="B12" s="20" t="n">
        <f aca="true">COUNTIFS('Risk Register'!$W$6:$W$105,"&lt;"&amp;TODAY(),'Risk Register'!$X$6:$X$105,"&lt;&gt;Closed",'Risk Register'!$X$6:$X$105,"&lt;&gt;")</f>
        <v>4</v>
      </c>
    </row>
    <row r="15" customFormat="false" ht="15" hidden="false" customHeight="false" outlineLevel="0" collapsed="false">
      <c r="A15" s="18" t="s">
        <v>786</v>
      </c>
      <c r="F15" s="18" t="s">
        <v>787</v>
      </c>
    </row>
    <row r="16" customFormat="false" ht="21.75" hidden="false" customHeight="true" outlineLevel="0" collapsed="false">
      <c r="A16" s="8" t="s">
        <v>49</v>
      </c>
      <c r="B16" s="8" t="s">
        <v>788</v>
      </c>
      <c r="C16" s="8" t="s">
        <v>789</v>
      </c>
      <c r="D16" s="8" t="s">
        <v>790</v>
      </c>
      <c r="F16" s="8" t="s">
        <v>70</v>
      </c>
      <c r="G16" s="8" t="s">
        <v>788</v>
      </c>
    </row>
    <row r="17" customFormat="false" ht="15" hidden="false" customHeight="false" outlineLevel="0" collapsed="false">
      <c r="A17" s="28" t="str">
        <f aca="false">Lists!A2</f>
        <v>Climate &amp; Environment</v>
      </c>
      <c r="B17" s="22" t="n">
        <f aca="false">COUNTIF('Risk Register'!$C$6:$C$105,A17)</f>
        <v>2</v>
      </c>
      <c r="C17" s="30" t="n">
        <f aca="false">IFERROR(AVERAGEIF('Risk Register'!$C$6:$C$105,A17,'Risk Register'!$J$6:$J$105),0)</f>
        <v>15.5</v>
      </c>
      <c r="D17" s="30" t="n">
        <f aca="false">IFERROR(AVERAGEIF('Risk Register'!$C$6:$C$105,A17,'Risk Register'!$Q$6:$Q$105),0)</f>
        <v>10.5</v>
      </c>
      <c r="F17" s="28" t="str">
        <f aca="false">Lists!D2</f>
        <v>Open</v>
      </c>
      <c r="G17" s="22" t="n">
        <f aca="false">COUNTIF('Risk Register'!$X$6:$X$105,F17)</f>
        <v>32</v>
      </c>
    </row>
    <row r="18" customFormat="false" ht="15" hidden="false" customHeight="false" outlineLevel="0" collapsed="false">
      <c r="A18" s="28" t="str">
        <f aca="false">Lists!A3</f>
        <v>Supply Chain &amp; Logistics</v>
      </c>
      <c r="B18" s="22" t="n">
        <f aca="false">COUNTIF('Risk Register'!$C$6:$C$105,A18)</f>
        <v>3</v>
      </c>
      <c r="C18" s="30" t="n">
        <f aca="false">IFERROR(AVERAGEIF('Risk Register'!$C$6:$C$105,A18,'Risk Register'!$J$6:$J$105),0)</f>
        <v>14.3333333333333</v>
      </c>
      <c r="D18" s="30" t="n">
        <f aca="false">IFERROR(AVERAGEIF('Risk Register'!$C$6:$C$105,A18,'Risk Register'!$Q$6:$Q$105),0)</f>
        <v>10</v>
      </c>
      <c r="F18" s="28" t="str">
        <f aca="false">Lists!D3</f>
        <v>In Progress</v>
      </c>
      <c r="G18" s="22" t="n">
        <f aca="false">COUNTIF('Risk Register'!$X$6:$X$105,F18)</f>
        <v>35</v>
      </c>
    </row>
    <row r="19" customFormat="false" ht="15" hidden="false" customHeight="false" outlineLevel="0" collapsed="false">
      <c r="A19" s="28" t="str">
        <f aca="false">Lists!A4</f>
        <v>Technology &amp; AI</v>
      </c>
      <c r="B19" s="22" t="n">
        <f aca="false">COUNTIF('Risk Register'!$C$6:$C$105,A19)</f>
        <v>3</v>
      </c>
      <c r="C19" s="30" t="n">
        <f aca="false">IFERROR(AVERAGEIF('Risk Register'!$C$6:$C$105,A19,'Risk Register'!$J$6:$J$105),0)</f>
        <v>13.3333333333333</v>
      </c>
      <c r="D19" s="30" t="n">
        <f aca="false">IFERROR(AVERAGEIF('Risk Register'!$C$6:$C$105,A19,'Risk Register'!$Q$6:$Q$105),0)</f>
        <v>8</v>
      </c>
      <c r="F19" s="28" t="str">
        <f aca="false">Lists!D4</f>
        <v>Monitoring</v>
      </c>
      <c r="G19" s="22" t="n">
        <f aca="false">COUNTIF('Risk Register'!$X$6:$X$105,F19)</f>
        <v>6</v>
      </c>
    </row>
    <row r="20" customFormat="false" ht="15" hidden="false" customHeight="false" outlineLevel="0" collapsed="false">
      <c r="A20" s="28" t="str">
        <f aca="false">Lists!A5</f>
        <v>Workforce &amp; Operating Model</v>
      </c>
      <c r="B20" s="22" t="n">
        <f aca="false">COUNTIF('Risk Register'!$C$6:$C$105,A20)</f>
        <v>4</v>
      </c>
      <c r="C20" s="30" t="n">
        <f aca="false">IFERROR(AVERAGEIF('Risk Register'!$C$6:$C$105,A20,'Risk Register'!$J$6:$J$105),0)</f>
        <v>11.25</v>
      </c>
      <c r="D20" s="30" t="n">
        <f aca="false">IFERROR(AVERAGEIF('Risk Register'!$C$6:$C$105,A20,'Risk Register'!$Q$6:$Q$105),0)</f>
        <v>6.75</v>
      </c>
      <c r="F20" s="28" t="str">
        <f aca="false">Lists!D5</f>
        <v>Closed</v>
      </c>
      <c r="G20" s="22" t="n">
        <f aca="false">COUNTIF('Risk Register'!$X$6:$X$105,F20)</f>
        <v>2</v>
      </c>
    </row>
    <row r="21" customFormat="false" ht="15" hidden="false" customHeight="false" outlineLevel="0" collapsed="false">
      <c r="A21" s="28" t="str">
        <f aca="false">Lists!A6</f>
        <v>Regulatory &amp; ESG</v>
      </c>
      <c r="B21" s="22" t="n">
        <f aca="false">COUNTIF('Risk Register'!$C$6:$C$105,A21)</f>
        <v>3</v>
      </c>
      <c r="C21" s="30" t="n">
        <f aca="false">IFERROR(AVERAGEIF('Risk Register'!$C$6:$C$105,A21,'Risk Register'!$J$6:$J$105),0)</f>
        <v>12</v>
      </c>
      <c r="D21" s="30" t="n">
        <f aca="false">IFERROR(AVERAGEIF('Risk Register'!$C$6:$C$105,A21,'Risk Register'!$Q$6:$Q$105),0)</f>
        <v>7.66666666666667</v>
      </c>
    </row>
    <row r="22" customFormat="false" ht="15" hidden="false" customHeight="false" outlineLevel="0" collapsed="false">
      <c r="A22" s="28" t="str">
        <f aca="false">Lists!A7</f>
        <v>Financial &amp; Market</v>
      </c>
      <c r="B22" s="22" t="n">
        <f aca="false">COUNTIF('Risk Register'!$C$6:$C$105,A22)</f>
        <v>2</v>
      </c>
      <c r="C22" s="30" t="n">
        <f aca="false">IFERROR(AVERAGEIF('Risk Register'!$C$6:$C$105,A22,'Risk Register'!$J$6:$J$105),0)</f>
        <v>14</v>
      </c>
      <c r="D22" s="30" t="n">
        <f aca="false">IFERROR(AVERAGEIF('Risk Register'!$C$6:$C$105,A22,'Risk Register'!$Q$6:$Q$105),0)</f>
        <v>9</v>
      </c>
    </row>
    <row r="23" customFormat="false" ht="15" hidden="false" customHeight="false" outlineLevel="0" collapsed="false">
      <c r="A23" s="28" t="str">
        <f aca="false">Lists!A8</f>
        <v>Operational Resilience</v>
      </c>
      <c r="B23" s="22" t="n">
        <f aca="false">COUNTIF('Risk Register'!$C$6:$C$105,A23)</f>
        <v>2</v>
      </c>
      <c r="C23" s="30" t="n">
        <f aca="false">IFERROR(AVERAGEIF('Risk Register'!$C$6:$C$105,A23,'Risk Register'!$J$6:$J$105),0)</f>
        <v>9</v>
      </c>
      <c r="D23" s="30" t="n">
        <f aca="false">IFERROR(AVERAGEIF('Risk Register'!$C$6:$C$105,A23,'Risk Register'!$Q$6:$Q$105),0)</f>
        <v>7</v>
      </c>
      <c r="F23" s="18" t="s">
        <v>791</v>
      </c>
    </row>
    <row r="24" customFormat="false" ht="21.75" hidden="false" customHeight="true" outlineLevel="0" collapsed="false">
      <c r="A24" s="28" t="str">
        <f aca="false">Lists!A9</f>
        <v>Cyber: Identity &amp; Access</v>
      </c>
      <c r="B24" s="22" t="n">
        <f aca="false">COUNTIF('Risk Register'!$C$6:$C$105,A24)</f>
        <v>10</v>
      </c>
      <c r="C24" s="30" t="n">
        <f aca="false">IFERROR(AVERAGEIF('Risk Register'!$C$6:$C$105,A24,'Risk Register'!$J$6:$J$105),0)</f>
        <v>12.7</v>
      </c>
      <c r="D24" s="30" t="n">
        <f aca="false">IFERROR(AVERAGEIF('Risk Register'!$C$6:$C$105,A24,'Risk Register'!$Q$6:$Q$105),0)</f>
        <v>7</v>
      </c>
      <c r="F24" s="8" t="s">
        <v>66</v>
      </c>
      <c r="G24" s="8" t="s">
        <v>788</v>
      </c>
    </row>
    <row r="25" customFormat="false" ht="15" hidden="false" customHeight="false" outlineLevel="0" collapsed="false">
      <c r="A25" s="28" t="str">
        <f aca="false">Lists!A10</f>
        <v>Cyber: Network &amp; Infrastructure</v>
      </c>
      <c r="B25" s="22" t="n">
        <f aca="false">COUNTIF('Risk Register'!$C$6:$C$105,A25)</f>
        <v>8</v>
      </c>
      <c r="C25" s="30" t="n">
        <f aca="false">IFERROR(AVERAGEIF('Risk Register'!$C$6:$C$105,A25,'Risk Register'!$J$6:$J$105),0)</f>
        <v>12.25</v>
      </c>
      <c r="D25" s="30" t="n">
        <f aca="false">IFERROR(AVERAGEIF('Risk Register'!$C$6:$C$105,A25,'Risk Register'!$Q$6:$Q$105),0)</f>
        <v>8.375</v>
      </c>
      <c r="F25" s="28" t="str">
        <f aca="false">Lists!C2</f>
        <v>Mitigate</v>
      </c>
      <c r="G25" s="22" t="n">
        <f aca="false">COUNTIF('Risk Register'!$T$6:$T$105,F25)</f>
        <v>66</v>
      </c>
    </row>
    <row r="26" customFormat="false" ht="15" hidden="false" customHeight="false" outlineLevel="0" collapsed="false">
      <c r="A26" s="28" t="str">
        <f aca="false">Lists!A11</f>
        <v>Cyber: Data Protection &amp; Privacy</v>
      </c>
      <c r="B26" s="22" t="n">
        <f aca="false">COUNTIF('Risk Register'!$C$6:$C$105,A26)</f>
        <v>8</v>
      </c>
      <c r="C26" s="30" t="n">
        <f aca="false">IFERROR(AVERAGEIF('Risk Register'!$C$6:$C$105,A26,'Risk Register'!$J$6:$J$105),0)</f>
        <v>12.125</v>
      </c>
      <c r="D26" s="30" t="n">
        <f aca="false">IFERROR(AVERAGEIF('Risk Register'!$C$6:$C$105,A26,'Risk Register'!$Q$6:$Q$105),0)</f>
        <v>7.125</v>
      </c>
      <c r="F26" s="28" t="str">
        <f aca="false">Lists!C3</f>
        <v>Accept</v>
      </c>
      <c r="G26" s="22" t="n">
        <f aca="false">COUNTIF('Risk Register'!$T$6:$T$105,F26)</f>
        <v>4</v>
      </c>
    </row>
    <row r="27" customFormat="false" ht="15" hidden="false" customHeight="false" outlineLevel="0" collapsed="false">
      <c r="A27" s="28" t="str">
        <f aca="false">Lists!A12</f>
        <v>Cyber: Application &amp; Cloud</v>
      </c>
      <c r="B27" s="22" t="n">
        <f aca="false">COUNTIF('Risk Register'!$C$6:$C$105,A27)</f>
        <v>10</v>
      </c>
      <c r="C27" s="30" t="n">
        <f aca="false">IFERROR(AVERAGEIF('Risk Register'!$C$6:$C$105,A27,'Risk Register'!$J$6:$J$105),0)</f>
        <v>13.2</v>
      </c>
      <c r="D27" s="30" t="n">
        <f aca="false">IFERROR(AVERAGEIF('Risk Register'!$C$6:$C$105,A27,'Risk Register'!$Q$6:$Q$105),0)</f>
        <v>7</v>
      </c>
      <c r="F27" s="28" t="str">
        <f aca="false">Lists!C4</f>
        <v>Transfer</v>
      </c>
      <c r="G27" s="22" t="n">
        <f aca="false">COUNTIF('Risk Register'!$T$6:$T$105,F27)</f>
        <v>3</v>
      </c>
    </row>
    <row r="28" customFormat="false" ht="15" hidden="false" customHeight="false" outlineLevel="0" collapsed="false">
      <c r="A28" s="28" t="str">
        <f aca="false">Lists!A13</f>
        <v>Cyber: Threat &amp; Incident Response</v>
      </c>
      <c r="B28" s="22" t="n">
        <f aca="false">COUNTIF('Risk Register'!$C$6:$C$105,A28)</f>
        <v>9</v>
      </c>
      <c r="C28" s="30" t="n">
        <f aca="false">IFERROR(AVERAGEIF('Risk Register'!$C$6:$C$105,A28,'Risk Register'!$J$6:$J$105),0)</f>
        <v>12.3333333333333</v>
      </c>
      <c r="D28" s="30" t="n">
        <f aca="false">IFERROR(AVERAGEIF('Risk Register'!$C$6:$C$105,A28,'Risk Register'!$Q$6:$Q$105),0)</f>
        <v>7.44444444444445</v>
      </c>
      <c r="F28" s="28" t="str">
        <f aca="false">Lists!C5</f>
        <v>Avoid</v>
      </c>
      <c r="G28" s="22" t="n">
        <f aca="false">COUNTIF('Risk Register'!$T$6:$T$105,F28)</f>
        <v>2</v>
      </c>
    </row>
    <row r="29" customFormat="false" ht="15" hidden="false" customHeight="false" outlineLevel="0" collapsed="false">
      <c r="A29" s="28" t="str">
        <f aca="false">Lists!A14</f>
        <v>Cyber: OT &amp; Third-Party</v>
      </c>
      <c r="B29" s="22" t="n">
        <f aca="false">COUNTIF('Risk Register'!$C$6:$C$105,A29)</f>
        <v>11</v>
      </c>
      <c r="C29" s="30" t="n">
        <f aca="false">IFERROR(AVERAGEIF('Risk Register'!$C$6:$C$105,A29,'Risk Register'!$J$6:$J$105),0)</f>
        <v>12.8181818181818</v>
      </c>
      <c r="D29" s="30" t="n">
        <f aca="false">IFERROR(AVERAGEIF('Risk Register'!$C$6:$C$105,A29,'Risk Register'!$Q$6:$Q$105),0)</f>
        <v>8.27272727272727</v>
      </c>
    </row>
    <row r="31" customFormat="false" ht="15" hidden="false" customHeight="false" outlineLevel="0" collapsed="false">
      <c r="A31" s="18" t="s">
        <v>792</v>
      </c>
    </row>
    <row r="32" customFormat="false" ht="21.75" hidden="false" customHeight="true" outlineLevel="0" collapsed="false">
      <c r="A32" s="8" t="s">
        <v>793</v>
      </c>
      <c r="B32" s="8" t="s">
        <v>47</v>
      </c>
      <c r="C32" s="8" t="s">
        <v>794</v>
      </c>
      <c r="D32" s="8" t="s">
        <v>795</v>
      </c>
      <c r="E32" s="8" t="s">
        <v>796</v>
      </c>
    </row>
    <row r="33" customFormat="false" ht="27.75" hidden="false" customHeight="true" outlineLevel="0" collapsed="false">
      <c r="A33" s="31" t="str">
        <f aca="false">IFERROR(INDEX('Risk Register'!$D$6:$D$105,MATCH(LARGE('Risk Register'!$AB$6:$AB$105,1),'Risk Register'!$AB$6:$AB$105,0)),"")</f>
        <v>Ransomware attack on corporate IT systems</v>
      </c>
      <c r="B33" s="32" t="str">
        <f aca="false">IFERROR(INDEX('Risk Register'!$A$6:$A$105,MATCH(LARGE('Risk Register'!$AB$6:$AB$105,1),'Risk Register'!$AB$6:$AB$105,0)),"")</f>
        <v>R-061</v>
      </c>
      <c r="C33" s="32" t="n">
        <f aca="false">IFERROR(INDEX('Risk Register'!$Q$6:$Q$105,MATCH(LARGE('Risk Register'!$AB$6:$AB$105,1),'Risk Register'!$AB$6:$AB$105,0)),"")</f>
        <v>15</v>
      </c>
      <c r="D33" s="32" t="str">
        <f aca="false">IFERROR(INDEX('Risk Register'!$R$6:$R$105,MATCH(LARGE('Risk Register'!$AB$6:$AB$105,1),'Risk Register'!$AB$6:$AB$105,0)),"")</f>
        <v>Critical</v>
      </c>
      <c r="E33" s="31" t="str">
        <f aca="false">IFERROR(INDEX('Risk Register'!$G$6:$G$105,MATCH(LARGE('Risk Register'!$AB$6:$AB$105,1),'Risk Register'!$AB$6:$AB$105,0)),"")</f>
        <v>Chief Information Security Officer</v>
      </c>
    </row>
    <row r="34" customFormat="false" ht="27.75" hidden="false" customHeight="true" outlineLevel="0" collapsed="false">
      <c r="A34" s="31" t="str">
        <f aca="false">IFERROR(INDEX('Risk Register'!$D$6:$D$105,MATCH(LARGE('Risk Register'!$AB$6:$AB$105,2),'Risk Register'!$AB$6:$AB$105,0)),"")</f>
        <v>Flooding and storm damage at coastal plants</v>
      </c>
      <c r="B34" s="32" t="str">
        <f aca="false">IFERROR(INDEX('Risk Register'!$A$6:$A$105,MATCH(LARGE('Risk Register'!$AB$6:$AB$105,2),'Risk Register'!$AB$6:$AB$105,0)),"")</f>
        <v>R-002</v>
      </c>
      <c r="C34" s="32" t="n">
        <f aca="false">IFERROR(INDEX('Risk Register'!$Q$6:$Q$105,MATCH(LARGE('Risk Register'!$AB$6:$AB$105,2),'Risk Register'!$AB$6:$AB$105,0)),"")</f>
        <v>12</v>
      </c>
      <c r="D34" s="32" t="str">
        <f aca="false">IFERROR(INDEX('Risk Register'!$R$6:$R$105,MATCH(LARGE('Risk Register'!$AB$6:$AB$105,2),'Risk Register'!$AB$6:$AB$105,0)),"")</f>
        <v>High</v>
      </c>
      <c r="E34" s="31" t="str">
        <f aca="false">IFERROR(INDEX('Risk Register'!$G$6:$G$105,MATCH(LARGE('Risk Register'!$AB$6:$AB$105,2),'Risk Register'!$AB$6:$AB$105,0)),"")</f>
        <v>Chief Operating Officer</v>
      </c>
    </row>
    <row r="35" customFormat="false" ht="27.75" hidden="false" customHeight="true" outlineLevel="0" collapsed="false">
      <c r="A35" s="31" t="str">
        <f aca="false">IFERROR(INDEX('Risk Register'!$D$6:$D$105,MATCH(LARGE('Risk Register'!$AB$6:$AB$105,3),'Risk Register'!$AB$6:$AB$105,0)),"")</f>
        <v>Single-source dependency for specialty packaging film</v>
      </c>
      <c r="B35" s="32" t="str">
        <f aca="false">IFERROR(INDEX('Risk Register'!$A$6:$A$105,MATCH(LARGE('Risk Register'!$AB$6:$AB$105,3),'Risk Register'!$AB$6:$AB$105,0)),"")</f>
        <v>R-004</v>
      </c>
      <c r="C35" s="32" t="n">
        <f aca="false">IFERROR(INDEX('Risk Register'!$Q$6:$Q$105,MATCH(LARGE('Risk Register'!$AB$6:$AB$105,3),'Risk Register'!$AB$6:$AB$105,0)),"")</f>
        <v>12</v>
      </c>
      <c r="D35" s="32" t="str">
        <f aca="false">IFERROR(INDEX('Risk Register'!$R$6:$R$105,MATCH(LARGE('Risk Register'!$AB$6:$AB$105,3),'Risk Register'!$AB$6:$AB$105,0)),"")</f>
        <v>High</v>
      </c>
      <c r="E35" s="31" t="str">
        <f aca="false">IFERROR(INDEX('Risk Register'!$G$6:$G$105,MATCH(LARGE('Risk Register'!$AB$6:$AB$105,3),'Risk Register'!$AB$6:$AB$105,0)),"")</f>
        <v>Chief Procurement Officer</v>
      </c>
    </row>
    <row r="36" customFormat="false" ht="27.75" hidden="false" customHeight="true" outlineLevel="0" collapsed="false">
      <c r="A36" s="31" t="str">
        <f aca="false">IFERROR(INDEX('Risk Register'!$D$6:$D$105,MATCH(LARGE('Risk Register'!$AB$6:$AB$105,4),'Risk Register'!$AB$6:$AB$105,0)),"")</f>
        <v>Ransomware targeting plant operational technology (OT)</v>
      </c>
      <c r="B36" s="32" t="str">
        <f aca="false">IFERROR(INDEX('Risk Register'!$A$6:$A$105,MATCH(LARGE('Risk Register'!$AB$6:$AB$105,4),'Risk Register'!$AB$6:$AB$105,0)),"")</f>
        <v>R-012</v>
      </c>
      <c r="C36" s="32" t="n">
        <f aca="false">IFERROR(INDEX('Risk Register'!$Q$6:$Q$105,MATCH(LARGE('Risk Register'!$AB$6:$AB$105,4),'Risk Register'!$AB$6:$AB$105,0)),"")</f>
        <v>12</v>
      </c>
      <c r="D36" s="32" t="str">
        <f aca="false">IFERROR(INDEX('Risk Register'!$R$6:$R$105,MATCH(LARGE('Risk Register'!$AB$6:$AB$105,4),'Risk Register'!$AB$6:$AB$105,0)),"")</f>
        <v>High</v>
      </c>
      <c r="E36" s="31" t="str">
        <f aca="false">IFERROR(INDEX('Risk Register'!$G$6:$G$105,MATCH(LARGE('Risk Register'!$AB$6:$AB$105,4),'Risk Register'!$AB$6:$AB$105,0)),"")</f>
        <v>Chief Information Security Officer</v>
      </c>
    </row>
    <row r="37" customFormat="false" ht="27.75" hidden="false" customHeight="true" outlineLevel="0" collapsed="false">
      <c r="A37" s="31" t="str">
        <f aca="false">IFERROR(INDEX('Risk Register'!$D$6:$D$105,MATCH(LARGE('Risk Register'!$AB$6:$AB$105,5),'Risk Register'!$AB$6:$AB$105,0)),"")</f>
        <v>Unpatched vulnerabilities on internet-facing systems</v>
      </c>
      <c r="B37" s="32" t="str">
        <f aca="false">IFERROR(INDEX('Risk Register'!$A$6:$A$105,MATCH(LARGE('Risk Register'!$AB$6:$AB$105,5),'Risk Register'!$AB$6:$AB$105,0)),"")</f>
        <v>R-031</v>
      </c>
      <c r="C37" s="32" t="n">
        <f aca="false">IFERROR(INDEX('Risk Register'!$Q$6:$Q$105,MATCH(LARGE('Risk Register'!$AB$6:$AB$105,5),'Risk Register'!$AB$6:$AB$105,0)),"")</f>
        <v>12</v>
      </c>
      <c r="D37" s="32" t="str">
        <f aca="false">IFERROR(INDEX('Risk Register'!$R$6:$R$105,MATCH(LARGE('Risk Register'!$AB$6:$AB$105,5),'Risk Register'!$AB$6:$AB$105,0)),"")</f>
        <v>High</v>
      </c>
      <c r="E37" s="31" t="str">
        <f aca="false">IFERROR(INDEX('Risk Register'!$G$6:$G$105,MATCH(LARGE('Risk Register'!$AB$6:$AB$105,5),'Risk Register'!$AB$6:$AB$105,0)),"")</f>
        <v>Head of IT Operations</v>
      </c>
    </row>
  </sheetData>
  <conditionalFormatting sqref="D33:D37">
    <cfRule type="cellIs" priority="2" operator="equal" aboveAverage="0" equalAverage="0" bottom="0" percent="0" rank="0" text="" dxfId="11">
      <formula>"Low"</formula>
    </cfRule>
    <cfRule type="cellIs" priority="3" operator="equal" aboveAverage="0" equalAverage="0" bottom="0" percent="0" rank="0" text="" dxfId="12">
      <formula>"Medium"</formula>
    </cfRule>
    <cfRule type="cellIs" priority="4" operator="equal" aboveAverage="0" equalAverage="0" bottom="0" percent="0" rank="0" text="" dxfId="13">
      <formula>"High"</formula>
    </cfRule>
    <cfRule type="cellIs" priority="5" operator="equal" aboveAverage="0" equalAverage="0" bottom="0" percent="0" rank="0" text="" dxfId="14">
      <formula>"Critical"</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6"/>
    <col collapsed="false" customWidth="true" hidden="false" outlineLevel="0" max="7" min="3" style="0" width="14"/>
  </cols>
  <sheetData>
    <row r="1" customFormat="false" ht="19.7" hidden="false" customHeight="false" outlineLevel="0" collapsed="false">
      <c r="A1" s="1" t="s">
        <v>797</v>
      </c>
    </row>
    <row r="2" customFormat="false" ht="15" hidden="false" customHeight="false" outlineLevel="0" collapsed="false">
      <c r="A2" s="2" t="s">
        <v>798</v>
      </c>
    </row>
    <row r="4" customFormat="false" ht="15" hidden="false" customHeight="false" outlineLevel="0" collapsed="false">
      <c r="A4" s="18" t="s">
        <v>799</v>
      </c>
    </row>
    <row r="5" customFormat="false" ht="24" hidden="false" customHeight="true" outlineLevel="0" collapsed="false">
      <c r="A5" s="8" t="s">
        <v>800</v>
      </c>
      <c r="B5" s="8" t="s">
        <v>801</v>
      </c>
      <c r="C5" s="8" t="s">
        <v>802</v>
      </c>
      <c r="D5" s="8" t="s">
        <v>803</v>
      </c>
      <c r="E5" s="8" t="s">
        <v>804</v>
      </c>
      <c r="F5" s="8" t="s">
        <v>805</v>
      </c>
      <c r="G5" s="8" t="s">
        <v>806</v>
      </c>
    </row>
    <row r="6" customFormat="false" ht="15" hidden="false" customHeight="false" outlineLevel="0" collapsed="false">
      <c r="A6" s="7" t="s">
        <v>807</v>
      </c>
      <c r="C6" s="33" t="n">
        <v>1</v>
      </c>
      <c r="D6" s="33" t="n">
        <v>2</v>
      </c>
      <c r="E6" s="33" t="n">
        <v>3</v>
      </c>
      <c r="F6" s="33" t="n">
        <v>4</v>
      </c>
      <c r="G6" s="33" t="n">
        <v>5</v>
      </c>
    </row>
    <row r="7" customFormat="false" ht="36" hidden="false" customHeight="true" outlineLevel="0" collapsed="false">
      <c r="A7" s="34" t="n">
        <v>5</v>
      </c>
      <c r="B7" s="28" t="s">
        <v>808</v>
      </c>
      <c r="C7" s="35" t="n">
        <f aca="false">COUNTIFS('Risk Register'!$H$6:$H$105,$A7,'Risk Register'!$I$6:$I$105,C$6)</f>
        <v>0</v>
      </c>
      <c r="D7" s="36" t="n">
        <f aca="false">COUNTIFS('Risk Register'!$H$6:$H$105,$A7,'Risk Register'!$I$6:$I$105,D$6)</f>
        <v>1</v>
      </c>
      <c r="E7" s="37" t="n">
        <f aca="false">COUNTIFS('Risk Register'!$H$6:$H$105,$A7,'Risk Register'!$I$6:$I$105,E$6)</f>
        <v>1</v>
      </c>
      <c r="F7" s="37" t="n">
        <f aca="false">COUNTIFS('Risk Register'!$H$6:$H$105,$A7,'Risk Register'!$I$6:$I$105,F$6)</f>
        <v>0</v>
      </c>
      <c r="G7" s="37" t="n">
        <f aca="false">COUNTIFS('Risk Register'!$H$6:$H$105,$A7,'Risk Register'!$I$6:$I$105,G$6)</f>
        <v>0</v>
      </c>
    </row>
    <row r="8" customFormat="false" ht="36" hidden="false" customHeight="true" outlineLevel="0" collapsed="false">
      <c r="A8" s="34" t="n">
        <v>4</v>
      </c>
      <c r="B8" s="28" t="s">
        <v>809</v>
      </c>
      <c r="C8" s="38" t="n">
        <f aca="false">COUNTIFS('Risk Register'!$H$6:$H$105,$A8,'Risk Register'!$I$6:$I$105,C$6)</f>
        <v>0</v>
      </c>
      <c r="D8" s="35" t="n">
        <f aca="false">COUNTIFS('Risk Register'!$H$6:$H$105,$A8,'Risk Register'!$I$6:$I$105,D$6)</f>
        <v>0</v>
      </c>
      <c r="E8" s="36" t="n">
        <f aca="false">COUNTIFS('Risk Register'!$H$6:$H$105,$A8,'Risk Register'!$I$6:$I$105,E$6)</f>
        <v>15</v>
      </c>
      <c r="F8" s="37" t="n">
        <f aca="false">COUNTIFS('Risk Register'!$H$6:$H$105,$A8,'Risk Register'!$I$6:$I$105,F$6)</f>
        <v>14</v>
      </c>
      <c r="G8" s="37" t="n">
        <f aca="false">COUNTIFS('Risk Register'!$H$6:$H$105,$A8,'Risk Register'!$I$6:$I$105,G$6)</f>
        <v>2</v>
      </c>
    </row>
    <row r="9" customFormat="false" ht="36" hidden="false" customHeight="true" outlineLevel="0" collapsed="false">
      <c r="A9" s="34" t="n">
        <v>3</v>
      </c>
      <c r="B9" s="28" t="s">
        <v>810</v>
      </c>
      <c r="C9" s="38" t="n">
        <f aca="false">COUNTIFS('Risk Register'!$H$6:$H$105,$A9,'Risk Register'!$I$6:$I$105,C$6)</f>
        <v>0</v>
      </c>
      <c r="D9" s="35" t="n">
        <f aca="false">COUNTIFS('Risk Register'!$H$6:$H$105,$A9,'Risk Register'!$I$6:$I$105,D$6)</f>
        <v>0</v>
      </c>
      <c r="E9" s="35" t="n">
        <f aca="false">COUNTIFS('Risk Register'!$H$6:$H$105,$A9,'Risk Register'!$I$6:$I$105,E$6)</f>
        <v>10</v>
      </c>
      <c r="F9" s="36" t="n">
        <f aca="false">COUNTIFS('Risk Register'!$H$6:$H$105,$A9,'Risk Register'!$I$6:$I$105,F$6)</f>
        <v>18</v>
      </c>
      <c r="G9" s="37" t="n">
        <f aca="false">COUNTIFS('Risk Register'!$H$6:$H$105,$A9,'Risk Register'!$I$6:$I$105,G$6)</f>
        <v>8</v>
      </c>
    </row>
    <row r="10" customFormat="false" ht="36" hidden="false" customHeight="true" outlineLevel="0" collapsed="false">
      <c r="A10" s="34" t="n">
        <v>2</v>
      </c>
      <c r="B10" s="28" t="s">
        <v>811</v>
      </c>
      <c r="C10" s="38" t="n">
        <f aca="false">COUNTIFS('Risk Register'!$H$6:$H$105,$A10,'Risk Register'!$I$6:$I$105,C$6)</f>
        <v>0</v>
      </c>
      <c r="D10" s="38" t="n">
        <f aca="false">COUNTIFS('Risk Register'!$H$6:$H$105,$A10,'Risk Register'!$I$6:$I$105,D$6)</f>
        <v>0</v>
      </c>
      <c r="E10" s="35" t="n">
        <f aca="false">COUNTIFS('Risk Register'!$H$6:$H$105,$A10,'Risk Register'!$I$6:$I$105,E$6)</f>
        <v>0</v>
      </c>
      <c r="F10" s="35" t="n">
        <f aca="false">COUNTIFS('Risk Register'!$H$6:$H$105,$A10,'Risk Register'!$I$6:$I$105,F$6)</f>
        <v>4</v>
      </c>
      <c r="G10" s="36" t="n">
        <f aca="false">COUNTIFS('Risk Register'!$H$6:$H$105,$A10,'Risk Register'!$I$6:$I$105,G$6)</f>
        <v>2</v>
      </c>
    </row>
    <row r="11" customFormat="false" ht="36" hidden="false" customHeight="true" outlineLevel="0" collapsed="false">
      <c r="A11" s="34" t="n">
        <v>1</v>
      </c>
      <c r="B11" s="28" t="s">
        <v>812</v>
      </c>
      <c r="C11" s="38" t="n">
        <f aca="false">COUNTIFS('Risk Register'!$H$6:$H$105,$A11,'Risk Register'!$I$6:$I$105,C$6)</f>
        <v>0</v>
      </c>
      <c r="D11" s="38" t="n">
        <f aca="false">COUNTIFS('Risk Register'!$H$6:$H$105,$A11,'Risk Register'!$I$6:$I$105,D$6)</f>
        <v>0</v>
      </c>
      <c r="E11" s="38" t="n">
        <f aca="false">COUNTIFS('Risk Register'!$H$6:$H$105,$A11,'Risk Register'!$I$6:$I$105,E$6)</f>
        <v>0</v>
      </c>
      <c r="F11" s="38" t="n">
        <f aca="false">COUNTIFS('Risk Register'!$H$6:$H$105,$A11,'Risk Register'!$I$6:$I$105,F$6)</f>
        <v>0</v>
      </c>
      <c r="G11" s="35" t="n">
        <f aca="false">COUNTIFS('Risk Register'!$H$6:$H$105,$A11,'Risk Register'!$I$6:$I$105,G$6)</f>
        <v>0</v>
      </c>
    </row>
    <row r="14" customFormat="false" ht="15" hidden="false" customHeight="false" outlineLevel="0" collapsed="false">
      <c r="A14" s="18" t="s">
        <v>813</v>
      </c>
    </row>
    <row r="15" customFormat="false" ht="24" hidden="false" customHeight="true" outlineLevel="0" collapsed="false">
      <c r="A15" s="8" t="s">
        <v>800</v>
      </c>
      <c r="B15" s="8" t="s">
        <v>801</v>
      </c>
      <c r="C15" s="8" t="s">
        <v>802</v>
      </c>
      <c r="D15" s="8" t="s">
        <v>803</v>
      </c>
      <c r="E15" s="8" t="s">
        <v>804</v>
      </c>
      <c r="F15" s="8" t="s">
        <v>805</v>
      </c>
      <c r="G15" s="8" t="s">
        <v>806</v>
      </c>
    </row>
    <row r="16" customFormat="false" ht="15" hidden="false" customHeight="false" outlineLevel="0" collapsed="false">
      <c r="A16" s="7" t="s">
        <v>807</v>
      </c>
      <c r="C16" s="33" t="n">
        <v>1</v>
      </c>
      <c r="D16" s="33" t="n">
        <v>2</v>
      </c>
      <c r="E16" s="33" t="n">
        <v>3</v>
      </c>
      <c r="F16" s="33" t="n">
        <v>4</v>
      </c>
      <c r="G16" s="33" t="n">
        <v>5</v>
      </c>
    </row>
    <row r="17" customFormat="false" ht="36" hidden="false" customHeight="true" outlineLevel="0" collapsed="false">
      <c r="A17" s="34" t="n">
        <v>5</v>
      </c>
      <c r="B17" s="28" t="s">
        <v>808</v>
      </c>
      <c r="C17" s="35" t="n">
        <f aca="false">COUNTIFS('Risk Register'!$O$6:$O$105,$A17,'Risk Register'!$P$6:$P$105,C$16)</f>
        <v>0</v>
      </c>
      <c r="D17" s="36" t="n">
        <f aca="false">COUNTIFS('Risk Register'!$O$6:$O$105,$A17,'Risk Register'!$P$6:$P$105,D$16)</f>
        <v>0</v>
      </c>
      <c r="E17" s="37" t="n">
        <f aca="false">COUNTIFS('Risk Register'!$O$6:$O$105,$A17,'Risk Register'!$P$6:$P$105,E$16)</f>
        <v>0</v>
      </c>
      <c r="F17" s="37" t="n">
        <f aca="false">COUNTIFS('Risk Register'!$O$6:$O$105,$A17,'Risk Register'!$P$6:$P$105,F$16)</f>
        <v>0</v>
      </c>
      <c r="G17" s="37" t="n">
        <f aca="false">COUNTIFS('Risk Register'!$O$6:$O$105,$A17,'Risk Register'!$P$6:$P$105,G$16)</f>
        <v>0</v>
      </c>
    </row>
    <row r="18" customFormat="false" ht="36" hidden="false" customHeight="true" outlineLevel="0" collapsed="false">
      <c r="A18" s="34" t="n">
        <v>4</v>
      </c>
      <c r="B18" s="28" t="s">
        <v>809</v>
      </c>
      <c r="C18" s="38" t="n">
        <f aca="false">COUNTIFS('Risk Register'!$O$6:$O$105,$A18,'Risk Register'!$P$6:$P$105,C$16)</f>
        <v>0</v>
      </c>
      <c r="D18" s="35" t="n">
        <f aca="false">COUNTIFS('Risk Register'!$O$6:$O$105,$A18,'Risk Register'!$P$6:$P$105,D$16)</f>
        <v>1</v>
      </c>
      <c r="E18" s="36" t="n">
        <f aca="false">COUNTIFS('Risk Register'!$O$6:$O$105,$A18,'Risk Register'!$P$6:$P$105,E$16)</f>
        <v>1</v>
      </c>
      <c r="F18" s="37" t="n">
        <f aca="false">COUNTIFS('Risk Register'!$O$6:$O$105,$A18,'Risk Register'!$P$6:$P$105,F$16)</f>
        <v>0</v>
      </c>
      <c r="G18" s="37" t="n">
        <f aca="false">COUNTIFS('Risk Register'!$O$6:$O$105,$A18,'Risk Register'!$P$6:$P$105,G$16)</f>
        <v>0</v>
      </c>
    </row>
    <row r="19" customFormat="false" ht="36" hidden="false" customHeight="true" outlineLevel="0" collapsed="false">
      <c r="A19" s="34" t="n">
        <v>3</v>
      </c>
      <c r="B19" s="28" t="s">
        <v>810</v>
      </c>
      <c r="C19" s="38" t="n">
        <f aca="false">COUNTIFS('Risk Register'!$O$6:$O$105,$A19,'Risk Register'!$P$6:$P$105,C$16)</f>
        <v>0</v>
      </c>
      <c r="D19" s="35" t="n">
        <f aca="false">COUNTIFS('Risk Register'!$O$6:$O$105,$A19,'Risk Register'!$P$6:$P$105,D$16)</f>
        <v>14</v>
      </c>
      <c r="E19" s="35" t="n">
        <f aca="false">COUNTIFS('Risk Register'!$O$6:$O$105,$A19,'Risk Register'!$P$6:$P$105,E$16)</f>
        <v>18</v>
      </c>
      <c r="F19" s="36" t="n">
        <f aca="false">COUNTIFS('Risk Register'!$O$6:$O$105,$A19,'Risk Register'!$P$6:$P$105,F$16)</f>
        <v>10</v>
      </c>
      <c r="G19" s="37" t="n">
        <f aca="false">COUNTIFS('Risk Register'!$O$6:$O$105,$A19,'Risk Register'!$P$6:$P$105,G$16)</f>
        <v>1</v>
      </c>
    </row>
    <row r="20" customFormat="false" ht="36" hidden="false" customHeight="true" outlineLevel="0" collapsed="false">
      <c r="A20" s="34" t="n">
        <v>2</v>
      </c>
      <c r="B20" s="28" t="s">
        <v>811</v>
      </c>
      <c r="C20" s="38" t="n">
        <f aca="false">COUNTIFS('Risk Register'!$O$6:$O$105,$A20,'Risk Register'!$P$6:$P$105,C$16)</f>
        <v>0</v>
      </c>
      <c r="D20" s="38" t="n">
        <f aca="false">COUNTIFS('Risk Register'!$O$6:$O$105,$A20,'Risk Register'!$P$6:$P$105,D$16)</f>
        <v>1</v>
      </c>
      <c r="E20" s="35" t="n">
        <f aca="false">COUNTIFS('Risk Register'!$O$6:$O$105,$A20,'Risk Register'!$P$6:$P$105,E$16)</f>
        <v>17</v>
      </c>
      <c r="F20" s="35" t="n">
        <f aca="false">COUNTIFS('Risk Register'!$O$6:$O$105,$A20,'Risk Register'!$P$6:$P$105,F$16)</f>
        <v>7</v>
      </c>
      <c r="G20" s="36" t="n">
        <f aca="false">COUNTIFS('Risk Register'!$O$6:$O$105,$A20,'Risk Register'!$P$6:$P$105,G$16)</f>
        <v>0</v>
      </c>
    </row>
    <row r="21" customFormat="false" ht="36" hidden="false" customHeight="true" outlineLevel="0" collapsed="false">
      <c r="A21" s="34" t="n">
        <v>1</v>
      </c>
      <c r="B21" s="28" t="s">
        <v>812</v>
      </c>
      <c r="C21" s="38" t="n">
        <f aca="false">COUNTIFS('Risk Register'!$O$6:$O$105,$A21,'Risk Register'!$P$6:$P$105,C$16)</f>
        <v>0</v>
      </c>
      <c r="D21" s="38" t="n">
        <f aca="false">COUNTIFS('Risk Register'!$O$6:$O$105,$A21,'Risk Register'!$P$6:$P$105,D$16)</f>
        <v>2</v>
      </c>
      <c r="E21" s="38" t="n">
        <f aca="false">COUNTIFS('Risk Register'!$O$6:$O$105,$A21,'Risk Register'!$P$6:$P$105,E$16)</f>
        <v>0</v>
      </c>
      <c r="F21" s="38" t="n">
        <f aca="false">COUNTIFS('Risk Register'!$O$6:$O$105,$A21,'Risk Register'!$P$6:$P$105,F$16)</f>
        <v>3</v>
      </c>
      <c r="G21" s="35" t="n">
        <f aca="false">COUNTIFS('Risk Register'!$O$6:$O$105,$A21,'Risk Register'!$P$6:$P$105,G$16)</f>
        <v>0</v>
      </c>
    </row>
    <row r="23" customFormat="false" ht="15" hidden="false" customHeight="false" outlineLevel="0" collapsed="false">
      <c r="A23" s="39" t="s">
        <v>814</v>
      </c>
      <c r="B23" s="40" t="s">
        <v>775</v>
      </c>
      <c r="C23" s="41" t="s">
        <v>777</v>
      </c>
      <c r="D23" s="42" t="s">
        <v>779</v>
      </c>
      <c r="E23" s="43" t="s">
        <v>781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6"/>
    <col collapsed="false" customWidth="true" hidden="false" outlineLevel="0" max="3" min="3" style="0" width="34"/>
    <col collapsed="false" customWidth="true" hidden="false" outlineLevel="0" max="4" min="4" style="0" width="40"/>
    <col collapsed="false" customWidth="true" hidden="false" outlineLevel="0" max="5" min="5" style="0" width="34"/>
    <col collapsed="false" customWidth="true" hidden="false" outlineLevel="0" max="6" min="6" style="0" width="40"/>
  </cols>
  <sheetData>
    <row r="1" customFormat="false" ht="19.7" hidden="false" customHeight="false" outlineLevel="0" collapsed="false">
      <c r="A1" s="1" t="s">
        <v>815</v>
      </c>
    </row>
    <row r="2" customFormat="false" ht="15" hidden="false" customHeight="false" outlineLevel="0" collapsed="false">
      <c r="A2" s="2" t="s">
        <v>816</v>
      </c>
    </row>
    <row r="3" customFormat="false" ht="15" hidden="false" customHeight="false" outlineLevel="0" collapsed="false">
      <c r="A3" s="18" t="s">
        <v>817</v>
      </c>
    </row>
    <row r="4" customFormat="false" ht="31.5" hidden="false" customHeight="true" outlineLevel="0" collapsed="false">
      <c r="A4" s="8" t="s">
        <v>818</v>
      </c>
      <c r="B4" s="8" t="s">
        <v>801</v>
      </c>
      <c r="C4" s="8" t="s">
        <v>819</v>
      </c>
      <c r="D4" s="8" t="s">
        <v>820</v>
      </c>
    </row>
    <row r="5" customFormat="false" ht="31.5" hidden="false" customHeight="true" outlineLevel="0" collapsed="false">
      <c r="A5" s="44" t="n">
        <v>5</v>
      </c>
      <c r="B5" s="6" t="s">
        <v>808</v>
      </c>
      <c r="C5" s="6" t="s">
        <v>821</v>
      </c>
      <c r="D5" s="6" t="s">
        <v>822</v>
      </c>
    </row>
    <row r="6" customFormat="false" ht="31.5" hidden="false" customHeight="true" outlineLevel="0" collapsed="false">
      <c r="A6" s="44" t="n">
        <v>4</v>
      </c>
      <c r="B6" s="6" t="s">
        <v>809</v>
      </c>
      <c r="C6" s="6" t="s">
        <v>823</v>
      </c>
      <c r="D6" s="6" t="s">
        <v>824</v>
      </c>
    </row>
    <row r="7" customFormat="false" ht="31.5" hidden="false" customHeight="true" outlineLevel="0" collapsed="false">
      <c r="A7" s="44" t="n">
        <v>3</v>
      </c>
      <c r="B7" s="6" t="s">
        <v>810</v>
      </c>
      <c r="C7" s="6" t="s">
        <v>825</v>
      </c>
      <c r="D7" s="6" t="s">
        <v>826</v>
      </c>
    </row>
    <row r="8" customFormat="false" ht="31.5" hidden="false" customHeight="true" outlineLevel="0" collapsed="false">
      <c r="A8" s="44" t="n">
        <v>2</v>
      </c>
      <c r="B8" s="6" t="s">
        <v>811</v>
      </c>
      <c r="C8" s="6" t="s">
        <v>827</v>
      </c>
      <c r="D8" s="6" t="s">
        <v>828</v>
      </c>
    </row>
    <row r="9" customFormat="false" ht="31.5" hidden="false" customHeight="true" outlineLevel="0" collapsed="false">
      <c r="A9" s="44" t="n">
        <v>1</v>
      </c>
      <c r="B9" s="6" t="s">
        <v>812</v>
      </c>
      <c r="C9" s="6" t="s">
        <v>829</v>
      </c>
      <c r="D9" s="6" t="s">
        <v>830</v>
      </c>
    </row>
    <row r="11" customFormat="false" ht="15" hidden="false" customHeight="false" outlineLevel="0" collapsed="false">
      <c r="A11" s="18" t="s">
        <v>831</v>
      </c>
    </row>
    <row r="12" customFormat="false" ht="31.5" hidden="false" customHeight="true" outlineLevel="0" collapsed="false">
      <c r="A12" s="8" t="s">
        <v>818</v>
      </c>
      <c r="B12" s="8" t="s">
        <v>801</v>
      </c>
      <c r="C12" s="8" t="s">
        <v>832</v>
      </c>
      <c r="D12" s="8" t="s">
        <v>833</v>
      </c>
      <c r="E12" s="8" t="s">
        <v>834</v>
      </c>
      <c r="F12" s="8" t="s">
        <v>835</v>
      </c>
    </row>
    <row r="13" customFormat="false" ht="31.5" hidden="false" customHeight="true" outlineLevel="0" collapsed="false">
      <c r="A13" s="44" t="n">
        <v>5</v>
      </c>
      <c r="B13" s="6" t="s">
        <v>806</v>
      </c>
      <c r="C13" s="6" t="s">
        <v>836</v>
      </c>
      <c r="D13" s="6" t="s">
        <v>837</v>
      </c>
      <c r="E13" s="6" t="s">
        <v>838</v>
      </c>
      <c r="F13" s="6" t="s">
        <v>839</v>
      </c>
    </row>
    <row r="14" customFormat="false" ht="31.5" hidden="false" customHeight="true" outlineLevel="0" collapsed="false">
      <c r="A14" s="44" t="n">
        <v>4</v>
      </c>
      <c r="B14" s="6" t="s">
        <v>805</v>
      </c>
      <c r="C14" s="6" t="s">
        <v>840</v>
      </c>
      <c r="D14" s="6" t="s">
        <v>841</v>
      </c>
      <c r="E14" s="6" t="s">
        <v>842</v>
      </c>
      <c r="F14" s="6" t="s">
        <v>843</v>
      </c>
    </row>
    <row r="15" customFormat="false" ht="31.5" hidden="false" customHeight="true" outlineLevel="0" collapsed="false">
      <c r="A15" s="44" t="n">
        <v>3</v>
      </c>
      <c r="B15" s="6" t="s">
        <v>804</v>
      </c>
      <c r="C15" s="6" t="s">
        <v>844</v>
      </c>
      <c r="D15" s="6" t="s">
        <v>845</v>
      </c>
      <c r="E15" s="6" t="s">
        <v>846</v>
      </c>
      <c r="F15" s="6" t="s">
        <v>847</v>
      </c>
    </row>
    <row r="16" customFormat="false" ht="31.5" hidden="false" customHeight="true" outlineLevel="0" collapsed="false">
      <c r="A16" s="44" t="n">
        <v>2</v>
      </c>
      <c r="B16" s="6" t="s">
        <v>803</v>
      </c>
      <c r="C16" s="6" t="s">
        <v>848</v>
      </c>
      <c r="D16" s="6" t="s">
        <v>849</v>
      </c>
      <c r="E16" s="6" t="s">
        <v>850</v>
      </c>
      <c r="F16" s="6" t="s">
        <v>851</v>
      </c>
    </row>
    <row r="17" customFormat="false" ht="31.5" hidden="false" customHeight="true" outlineLevel="0" collapsed="false">
      <c r="A17" s="44" t="n">
        <v>1</v>
      </c>
      <c r="B17" s="6" t="s">
        <v>802</v>
      </c>
      <c r="C17" s="6" t="s">
        <v>852</v>
      </c>
      <c r="D17" s="6" t="s">
        <v>853</v>
      </c>
      <c r="E17" s="6" t="s">
        <v>854</v>
      </c>
      <c r="F17" s="6" t="s">
        <v>855</v>
      </c>
    </row>
    <row r="19" customFormat="false" ht="15" hidden="false" customHeight="false" outlineLevel="0" collapsed="false">
      <c r="A19" s="18" t="s">
        <v>856</v>
      </c>
    </row>
    <row r="20" customFormat="false" ht="31.5" hidden="false" customHeight="true" outlineLevel="0" collapsed="false">
      <c r="A20" s="8" t="s">
        <v>771</v>
      </c>
      <c r="B20" s="8" t="s">
        <v>857</v>
      </c>
      <c r="C20" s="8" t="s">
        <v>858</v>
      </c>
      <c r="D20" s="8" t="s">
        <v>859</v>
      </c>
      <c r="E20" s="8" t="s">
        <v>860</v>
      </c>
    </row>
    <row r="21" customFormat="false" ht="31.5" hidden="false" customHeight="true" outlineLevel="0" collapsed="false">
      <c r="A21" s="45" t="s">
        <v>775</v>
      </c>
      <c r="B21" s="46" t="n">
        <v>1</v>
      </c>
      <c r="C21" s="6" t="n">
        <f aca="false">B22-1</f>
        <v>4</v>
      </c>
      <c r="D21" s="6" t="s">
        <v>861</v>
      </c>
      <c r="E21" s="46" t="n">
        <v>365</v>
      </c>
    </row>
    <row r="22" customFormat="false" ht="31.5" hidden="false" customHeight="true" outlineLevel="0" collapsed="false">
      <c r="A22" s="47" t="s">
        <v>777</v>
      </c>
      <c r="B22" s="46" t="n">
        <v>5</v>
      </c>
      <c r="C22" s="6" t="n">
        <f aca="false">B23-1</f>
        <v>9</v>
      </c>
      <c r="D22" s="6" t="s">
        <v>862</v>
      </c>
      <c r="E22" s="46" t="n">
        <v>180</v>
      </c>
    </row>
    <row r="23" customFormat="false" ht="31.5" hidden="false" customHeight="true" outlineLevel="0" collapsed="false">
      <c r="A23" s="48" t="s">
        <v>779</v>
      </c>
      <c r="B23" s="46" t="n">
        <v>10</v>
      </c>
      <c r="C23" s="6" t="n">
        <f aca="false">B24-1</f>
        <v>14</v>
      </c>
      <c r="D23" s="6" t="s">
        <v>863</v>
      </c>
      <c r="E23" s="46" t="n">
        <v>90</v>
      </c>
    </row>
    <row r="24" customFormat="false" ht="31.5" hidden="false" customHeight="true" outlineLevel="0" collapsed="false">
      <c r="A24" s="49" t="s">
        <v>781</v>
      </c>
      <c r="B24" s="46" t="n">
        <v>15</v>
      </c>
      <c r="C24" s="46" t="n">
        <v>25</v>
      </c>
      <c r="D24" s="6" t="s">
        <v>864</v>
      </c>
      <c r="E24" s="46" t="n">
        <v>30</v>
      </c>
    </row>
    <row r="26" customFormat="false" ht="15" hidden="false" customHeight="false" outlineLevel="0" collapsed="false">
      <c r="A26" s="18" t="s">
        <v>865</v>
      </c>
    </row>
    <row r="27" customFormat="false" ht="42" hidden="false" customHeight="true" outlineLevel="0" collapsed="false">
      <c r="A27" s="50" t="s">
        <v>866</v>
      </c>
      <c r="B27" s="51" t="n">
        <v>9</v>
      </c>
      <c r="C27" s="52" t="s">
        <v>867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4" min="1" style="0" width="26"/>
  </cols>
  <sheetData>
    <row r="1" customFormat="false" ht="21.75" hidden="false" customHeight="true" outlineLevel="0" collapsed="false">
      <c r="A1" s="8" t="s">
        <v>49</v>
      </c>
      <c r="B1" s="8" t="s">
        <v>60</v>
      </c>
      <c r="C1" s="8" t="s">
        <v>66</v>
      </c>
      <c r="D1" s="8" t="s">
        <v>70</v>
      </c>
    </row>
    <row r="2" customFormat="false" ht="15" hidden="false" customHeight="false" outlineLevel="0" collapsed="false">
      <c r="A2" s="53" t="s">
        <v>76</v>
      </c>
      <c r="B2" s="53" t="s">
        <v>296</v>
      </c>
      <c r="C2" s="53" t="s">
        <v>84</v>
      </c>
      <c r="D2" s="53" t="s">
        <v>99</v>
      </c>
    </row>
    <row r="3" customFormat="false" ht="15" hidden="false" customHeight="false" outlineLevel="0" collapsed="false">
      <c r="A3" s="53" t="s">
        <v>102</v>
      </c>
      <c r="B3" s="53" t="s">
        <v>83</v>
      </c>
      <c r="C3" s="53" t="s">
        <v>297</v>
      </c>
      <c r="D3" s="53" t="s">
        <v>87</v>
      </c>
    </row>
    <row r="4" customFormat="false" ht="15" hidden="false" customHeight="false" outlineLevel="0" collapsed="false">
      <c r="A4" s="53" t="s">
        <v>152</v>
      </c>
      <c r="B4" s="53" t="s">
        <v>117</v>
      </c>
      <c r="C4" s="53" t="s">
        <v>96</v>
      </c>
      <c r="D4" s="53" t="s">
        <v>279</v>
      </c>
    </row>
    <row r="5" customFormat="false" ht="15" hidden="false" customHeight="false" outlineLevel="0" collapsed="false">
      <c r="A5" s="53" t="s">
        <v>213</v>
      </c>
      <c r="C5" s="53" t="s">
        <v>179</v>
      </c>
      <c r="D5" s="53" t="s">
        <v>460</v>
      </c>
    </row>
    <row r="6" customFormat="false" ht="15" hidden="false" customHeight="false" outlineLevel="0" collapsed="false">
      <c r="A6" s="53" t="s">
        <v>132</v>
      </c>
    </row>
    <row r="7" customFormat="false" ht="15" hidden="false" customHeight="false" outlineLevel="0" collapsed="false">
      <c r="A7" s="53" t="s">
        <v>262</v>
      </c>
    </row>
    <row r="8" customFormat="false" ht="15" hidden="false" customHeight="false" outlineLevel="0" collapsed="false">
      <c r="A8" s="53" t="s">
        <v>252</v>
      </c>
    </row>
    <row r="9" customFormat="false" ht="15" hidden="false" customHeight="false" outlineLevel="0" collapsed="false">
      <c r="A9" s="53" t="s">
        <v>184</v>
      </c>
    </row>
    <row r="10" customFormat="false" ht="15" hidden="false" customHeight="false" outlineLevel="0" collapsed="false">
      <c r="A10" s="53" t="s">
        <v>371</v>
      </c>
    </row>
    <row r="11" customFormat="false" ht="15" hidden="false" customHeight="false" outlineLevel="0" collapsed="false">
      <c r="A11" s="53" t="s">
        <v>442</v>
      </c>
    </row>
    <row r="12" customFormat="false" ht="15" hidden="false" customHeight="false" outlineLevel="0" collapsed="false">
      <c r="A12" s="53" t="s">
        <v>516</v>
      </c>
    </row>
    <row r="13" customFormat="false" ht="15" hidden="false" customHeight="false" outlineLevel="0" collapsed="false">
      <c r="A13" s="53" t="s">
        <v>605</v>
      </c>
    </row>
    <row r="14" customFormat="false" ht="15" hidden="false" customHeight="false" outlineLevel="0" collapsed="false">
      <c r="A14" s="53" t="s">
        <v>194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2026-10-14T12:14:57Z</dcterms:created>
  <dc:creator>openpyxl</dc:creator>
  <dc:description/>
  <dc:language>en-US</dc:language>
  <cp:lastModifiedBy/>
  <dcterms:modified xsi:type="dcterms:W3CDTF">2026-10-14T12:15:00Z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